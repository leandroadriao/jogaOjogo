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filterPrivacy="1" codeName="EstaPasta_de_trabalho" defaultThemeVersion="124226"/>
  <bookViews>
    <workbookView xWindow="360" yWindow="900" windowWidth="18735" windowHeight="11040" firstSheet="2" activeTab="7" xr2:uid="{00000000-000D-0000-FFFF-FFFF00000000}"/>
  </bookViews>
  <sheets>
    <sheet name="ITAUCARD" sheetId="13" r:id="rId1"/>
    <sheet name="Cartão 2014" sheetId="6" r:id="rId2"/>
    <sheet name="Plan1" sheetId="7" r:id="rId3"/>
    <sheet name="Plan2" sheetId="11" r:id="rId4"/>
    <sheet name="Economias" sheetId="12" r:id="rId5"/>
    <sheet name="Plan3" sheetId="14" r:id="rId6"/>
    <sheet name="2017" sheetId="16" r:id="rId7"/>
    <sheet name="2018" sheetId="19" r:id="rId8"/>
    <sheet name="Planilha3" sheetId="20" r:id="rId9"/>
    <sheet name="Planilha1" sheetId="17" r:id="rId10"/>
    <sheet name="Planilha2" sheetId="18" r:id="rId11"/>
  </sheets>
  <functionGroups builtInGroupCount="18"/>
  <definedNames>
    <definedName name="_xlnm._FilterDatabase" localSheetId="1" hidden="1">'Cartão 2014'!$A$2:$B$2</definedName>
    <definedName name="_xlnm._FilterDatabase" localSheetId="0" hidden="1">ITAUCARD!$A$2:$B$2</definedName>
    <definedName name="VL_DEPOSITO">Plan1!#REF!</definedName>
  </definedNames>
  <calcPr calcId="171027"/>
</workbook>
</file>

<file path=xl/calcChain.xml><?xml version="1.0" encoding="utf-8"?>
<calcChain xmlns="http://schemas.openxmlformats.org/spreadsheetml/2006/main">
  <c r="Q8" i="16" l="1"/>
  <c r="S8" i="16"/>
  <c r="Q10" i="16"/>
  <c r="S10" i="16"/>
  <c r="D31" i="19"/>
  <c r="D30" i="19"/>
  <c r="T29" i="16"/>
  <c r="T30" i="16"/>
  <c r="R29" i="16"/>
  <c r="H29" i="19"/>
  <c r="H31" i="19"/>
  <c r="X31" i="16"/>
  <c r="B30" i="19"/>
  <c r="B29" i="19"/>
  <c r="F29" i="19"/>
  <c r="B31" i="19"/>
  <c r="R30" i="16"/>
  <c r="H30" i="19"/>
  <c r="X29" i="16"/>
  <c r="X30" i="16"/>
  <c r="D29" i="19"/>
  <c r="F31" i="19"/>
  <c r="F30" i="19"/>
  <c r="V31" i="16"/>
  <c r="T31" i="16"/>
  <c r="V30" i="16"/>
  <c r="V29" i="16"/>
  <c r="R31" i="16"/>
  <c r="J29" i="19"/>
  <c r="J31" i="19"/>
  <c r="J30" i="19"/>
  <c r="L31" i="19"/>
  <c r="L29" i="19"/>
  <c r="L30" i="19"/>
  <c r="N31" i="19"/>
  <c r="N29" i="19"/>
  <c r="N30" i="19"/>
  <c r="P29" i="19"/>
  <c r="P30" i="19"/>
  <c r="P31" i="19"/>
  <c r="M21" i="17" l="1"/>
  <c r="N19" i="17" s="1"/>
  <c r="G8" i="16" l="1"/>
  <c r="H30" i="16"/>
  <c r="E40" i="16" l="1"/>
  <c r="A11" i="16" l="1"/>
  <c r="I8" i="16"/>
  <c r="K8" i="16"/>
  <c r="M8" i="16"/>
  <c r="O8" i="16"/>
  <c r="I10" i="16"/>
  <c r="M10" i="16"/>
  <c r="O10" i="16"/>
  <c r="C8" i="16"/>
  <c r="C10" i="16"/>
  <c r="N29" i="16"/>
  <c r="J29" i="16"/>
  <c r="L29" i="16"/>
  <c r="N30" i="16"/>
  <c r="F29" i="16"/>
  <c r="H29" i="16"/>
  <c r="J30" i="16"/>
  <c r="F31" i="16"/>
  <c r="J31" i="16"/>
  <c r="F30" i="16"/>
  <c r="B29" i="16"/>
  <c r="L30" i="16"/>
  <c r="H31" i="16"/>
  <c r="D31" i="16"/>
  <c r="B31" i="16"/>
  <c r="N31" i="16"/>
  <c r="P31" i="16"/>
  <c r="B30" i="16"/>
  <c r="D30" i="16"/>
  <c r="P29" i="16"/>
  <c r="D29" i="16"/>
  <c r="P30" i="16"/>
  <c r="L31" i="16"/>
  <c r="B27" i="11" l="1"/>
  <c r="H17" i="13" l="1"/>
  <c r="J17" i="13"/>
  <c r="L17" i="13"/>
  <c r="N17" i="13"/>
  <c r="H16" i="6" l="1"/>
  <c r="H17" i="6" s="1"/>
  <c r="J16" i="6"/>
  <c r="J17" i="6" s="1"/>
  <c r="D16" i="6"/>
  <c r="D17" i="6" s="1"/>
  <c r="F16" i="6"/>
  <c r="F17" i="6" s="1"/>
  <c r="E2" i="14" l="1"/>
  <c r="F17" i="13" l="1"/>
  <c r="E7" i="11" l="1"/>
  <c r="F24" i="11" l="1"/>
  <c r="D7" i="11"/>
  <c r="E8" i="11" s="1"/>
  <c r="B7" i="11" l="1"/>
  <c r="C7" i="11"/>
  <c r="D8" i="11" l="1"/>
  <c r="C8" i="11"/>
  <c r="O14" i="12"/>
  <c r="P14" i="12" s="1"/>
  <c r="O4" i="12"/>
  <c r="O5" i="12"/>
  <c r="O6" i="12"/>
  <c r="P6" i="12" s="1"/>
  <c r="O7" i="12"/>
  <c r="P7" i="12" s="1"/>
  <c r="O8" i="12"/>
  <c r="P8" i="12" s="1"/>
  <c r="O9" i="12"/>
  <c r="P9" i="12" s="1"/>
  <c r="O10" i="12"/>
  <c r="P10" i="12" s="1"/>
  <c r="O11" i="12"/>
  <c r="P11" i="12" s="1"/>
  <c r="O12" i="12"/>
  <c r="P12" i="12" s="1"/>
  <c r="O13" i="12"/>
  <c r="P13" i="12" s="1"/>
  <c r="O3" i="12"/>
  <c r="P3" i="12" s="1"/>
  <c r="D18" i="12" l="1"/>
  <c r="P5" i="12"/>
  <c r="D17" i="12"/>
  <c r="P4" i="12"/>
  <c r="R3" i="12" s="1"/>
  <c r="Q3" i="12"/>
  <c r="Q5" i="12" s="1"/>
  <c r="Q7" i="12" s="1"/>
  <c r="Q9" i="12" s="1"/>
  <c r="Q11" i="12" s="1"/>
  <c r="Q13" i="12" s="1"/>
  <c r="B9" i="11"/>
  <c r="C43" i="13"/>
  <c r="D16" i="13" s="1"/>
  <c r="D17" i="13" s="1"/>
  <c r="R5" i="12" l="1"/>
  <c r="R7" i="12" s="1"/>
  <c r="R9" i="12" s="1"/>
  <c r="R11" i="12" s="1"/>
  <c r="R13" i="12" s="1"/>
  <c r="C4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R12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23791442039035660052915007685009173060000050400
</t>
        </r>
      </text>
    </comment>
  </commentList>
</comments>
</file>

<file path=xl/sharedStrings.xml><?xml version="1.0" encoding="utf-8"?>
<sst xmlns="http://schemas.openxmlformats.org/spreadsheetml/2006/main" count="676" uniqueCount="324">
  <si>
    <t>DESCRIÇÃO</t>
  </si>
  <si>
    <t>VALOR</t>
  </si>
  <si>
    <t>DATA</t>
  </si>
  <si>
    <t>Descrição</t>
  </si>
  <si>
    <t>TOTAL</t>
  </si>
  <si>
    <t>CARTÃO DE CRÉDITO</t>
  </si>
  <si>
    <t>PAGAMENTOS DIA 20</t>
  </si>
  <si>
    <t>PAGAMENTOS DIA 05</t>
  </si>
  <si>
    <t>DEMAIS GASTOS</t>
  </si>
  <si>
    <t>NET FLIX</t>
  </si>
  <si>
    <t>Seguro Cartão</t>
  </si>
  <si>
    <t>CARTÃO DE CREDITO</t>
  </si>
  <si>
    <t>GASTOS DO CATÃO DE CRÉDITO NO MÊS</t>
  </si>
  <si>
    <t>Maio</t>
  </si>
  <si>
    <t>Junho</t>
  </si>
  <si>
    <t>Julho</t>
  </si>
  <si>
    <t>SKY Mensalidade</t>
  </si>
  <si>
    <t>PUERI PAX</t>
  </si>
  <si>
    <t>TFE</t>
  </si>
  <si>
    <t>Agosto</t>
  </si>
  <si>
    <t>PUERI PAX Mensalidade</t>
  </si>
  <si>
    <t>Setembro</t>
  </si>
  <si>
    <t>Outubro</t>
  </si>
  <si>
    <t>Novembro</t>
  </si>
  <si>
    <t>Dezembro</t>
  </si>
  <si>
    <t>AGOO CONTABILIDADE</t>
  </si>
  <si>
    <t xml:space="preserve"> </t>
  </si>
  <si>
    <t>DPVAT</t>
  </si>
  <si>
    <t>Fatura</t>
  </si>
  <si>
    <t>FATURA ITAU</t>
  </si>
  <si>
    <t>inicial</t>
  </si>
  <si>
    <t>março</t>
  </si>
  <si>
    <t>dia</t>
  </si>
  <si>
    <t xml:space="preserve">abril 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</si>
  <si>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</si>
  <si>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</si>
  <si>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</si>
  <si>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</si>
  <si>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</si>
  <si>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</si>
  <si>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</si>
  <si>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</si>
  <si>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010/007</t>
  </si>
  <si>
    <t>010/008</t>
  </si>
  <si>
    <t>Abril</t>
  </si>
  <si>
    <t>Janeiro</t>
  </si>
  <si>
    <t>Fevereiro</t>
  </si>
  <si>
    <t>Março</t>
  </si>
  <si>
    <t>ANO</t>
  </si>
  <si>
    <t>Total Geral</t>
  </si>
  <si>
    <t>Total Depositos</t>
  </si>
  <si>
    <t>Integrante</t>
  </si>
  <si>
    <t>Juros + PP</t>
  </si>
  <si>
    <t xml:space="preserve">Leandro </t>
  </si>
  <si>
    <t xml:space="preserve">Juciara </t>
  </si>
  <si>
    <t>X</t>
  </si>
  <si>
    <t xml:space="preserve">Planejamento </t>
  </si>
  <si>
    <t>010/009</t>
  </si>
  <si>
    <t>010/010</t>
  </si>
  <si>
    <t>LIBERTY EXPRESS +40*1tjbw</t>
  </si>
  <si>
    <t>FAST SHOP 001/010</t>
  </si>
  <si>
    <t>ren</t>
  </si>
  <si>
    <t>dif</t>
  </si>
  <si>
    <t xml:space="preserve">FIES </t>
  </si>
  <si>
    <t>CASAS BAHIACOM TV 01/10</t>
  </si>
  <si>
    <t>Total Juros</t>
  </si>
  <si>
    <t>Total de depositos</t>
  </si>
  <si>
    <t>Valor de propriedade</t>
  </si>
  <si>
    <t>Comissão</t>
  </si>
  <si>
    <t>Dados</t>
  </si>
  <si>
    <t>$ 100.000,00</t>
  </si>
  <si>
    <t>$ 7.000,00</t>
  </si>
  <si>
    <t>$ 250.000,00</t>
  </si>
  <si>
    <t>$ 200.000,00</t>
  </si>
  <si>
    <t>$ 14.000,00</t>
  </si>
  <si>
    <t>$ 300.000,00</t>
  </si>
  <si>
    <t>$ 21.000,00</t>
  </si>
  <si>
    <t>$ 400.000,00</t>
  </si>
  <si>
    <t>$ 28.000,00</t>
  </si>
  <si>
    <t>=SOMASE(A2:A5,"&gt;160000",B2:B5)</t>
  </si>
  <si>
    <t>Soma das comissões para valores de propriedades acima de 160.000.</t>
  </si>
  <si>
    <t>$ 63.000,00</t>
  </si>
  <si>
    <t>=SOMASE(A2:A5,"&gt;160000")</t>
  </si>
  <si>
    <t>Soma dos valores de propriedades acima de 160.000.</t>
  </si>
  <si>
    <t>$ 900.000,00</t>
  </si>
  <si>
    <t>=SOMASE(A2:A5,300000,B2:B5)</t>
  </si>
  <si>
    <t>Soma das comissões para valores de propriedades iguais a 300.000.</t>
  </si>
  <si>
    <t>=SOMASE(A2:A5,"&gt;" &amp; C2,B2:B5)</t>
  </si>
  <si>
    <t>Soma das comissões para valores de propriedades maiores que o valor em C2.</t>
  </si>
  <si>
    <t>$ 49.000,00</t>
  </si>
  <si>
    <t>RIACHUELO SP MARK 002/003</t>
  </si>
  <si>
    <t>003/002</t>
  </si>
  <si>
    <t>003/003</t>
  </si>
  <si>
    <t xml:space="preserve">ZATTA 002/003 </t>
  </si>
  <si>
    <t>VIVIAN BOGUS 001/002</t>
  </si>
  <si>
    <t>002/001</t>
  </si>
  <si>
    <t>002/002</t>
  </si>
  <si>
    <t>NETFLIX.COM</t>
  </si>
  <si>
    <t>ELETROPAULO NOV</t>
  </si>
  <si>
    <t>SABESP NOV</t>
  </si>
  <si>
    <t>ANUIDADE DIFERENCI03/06</t>
  </si>
  <si>
    <t>06/005</t>
  </si>
  <si>
    <t>06/006</t>
  </si>
  <si>
    <t>MERCADO NAVARRO 01/03</t>
  </si>
  <si>
    <t>CHILLI BEANS 01/03</t>
  </si>
  <si>
    <t>CASAS BAHIACOM  Present Helen</t>
  </si>
  <si>
    <t>004/003</t>
  </si>
  <si>
    <t>004/004</t>
  </si>
  <si>
    <t>FIES DEZEMBRO</t>
  </si>
  <si>
    <t>RIACHUELO</t>
  </si>
  <si>
    <t>SABESP JAN</t>
  </si>
  <si>
    <t xml:space="preserve">VULT </t>
  </si>
  <si>
    <t>006/002</t>
  </si>
  <si>
    <t>X BOX</t>
  </si>
  <si>
    <t>MAQUINA DE LAVAR</t>
  </si>
  <si>
    <t>PARCELAMEN FATURA 02/06</t>
  </si>
  <si>
    <t>006/003</t>
  </si>
  <si>
    <t>006/004</t>
  </si>
  <si>
    <t>006/005</t>
  </si>
  <si>
    <t>006/006</t>
  </si>
  <si>
    <t>ZNESHO DO BRASIL</t>
  </si>
  <si>
    <t>POSTO SUCESSO</t>
  </si>
  <si>
    <t>ASSAI</t>
  </si>
  <si>
    <t>PIZZA NO PEDACO</t>
  </si>
  <si>
    <t>BRAS DUTRA 01/03</t>
  </si>
  <si>
    <t>003/001</t>
  </si>
  <si>
    <t>AVAL.EMERG.CREDITO</t>
  </si>
  <si>
    <t>NET</t>
  </si>
  <si>
    <t xml:space="preserve">NET </t>
  </si>
  <si>
    <t>SABESP OUT</t>
  </si>
  <si>
    <t>Emprestimo 0010/008</t>
  </si>
  <si>
    <t>CONSIGNADO 024/002</t>
  </si>
  <si>
    <t>BRADESCO 006/006</t>
  </si>
  <si>
    <t>CHEQUE CARRO 008/006</t>
  </si>
  <si>
    <t>IPVA</t>
  </si>
  <si>
    <t>Emprestimo 0010/009</t>
  </si>
  <si>
    <t>CONSIGNADO 024/003</t>
  </si>
  <si>
    <t>CHEQUE CARRO 008/007</t>
  </si>
  <si>
    <t>Emprestimo 0010/010</t>
  </si>
  <si>
    <t>CONSIGNADO 024/004</t>
  </si>
  <si>
    <t>VEMAR CONSORCIO  060/006</t>
  </si>
  <si>
    <t>CHEQUE CARRO 008/008</t>
  </si>
  <si>
    <t>VEMAR CONSORCIO  060/007</t>
  </si>
  <si>
    <t>IPVA JANEIRO</t>
  </si>
  <si>
    <t xml:space="preserve">ELETROPAULO NOVEMBRO </t>
  </si>
  <si>
    <t xml:space="preserve">ELETROPAULO dezembro </t>
  </si>
  <si>
    <t>ELETROPAULO</t>
  </si>
  <si>
    <t xml:space="preserve">SABESP dezembro </t>
  </si>
  <si>
    <t>AZUL CIA SEG</t>
  </si>
  <si>
    <t>EMPRESTIMO 0036 / 001</t>
  </si>
  <si>
    <t>EMPRESTIMO 0036 / 002</t>
  </si>
  <si>
    <t>EMPRESTIMO 0036 / 003</t>
  </si>
  <si>
    <t>EMPRESTIMO 0036 / 004</t>
  </si>
  <si>
    <t>EMPRESTIMO 0036 / 005</t>
  </si>
  <si>
    <t>EMPRESTIMO 0036 / 006</t>
  </si>
  <si>
    <t>EMPRESTIMO 0036 / 007</t>
  </si>
  <si>
    <t>ELETROPAULO FEV</t>
  </si>
  <si>
    <t>SABESP FEV</t>
  </si>
  <si>
    <t>VEMAR CONSORCIO  060/008</t>
  </si>
  <si>
    <t>VEMAR CONSORCIO  060/009</t>
  </si>
  <si>
    <t>VEMAR CONSORCIO  060/010</t>
  </si>
  <si>
    <t>VEMAR CONSORCIO  060/011</t>
  </si>
  <si>
    <t>VEMAR CONSORCIO  060/014</t>
  </si>
  <si>
    <t>FIES FEV</t>
  </si>
  <si>
    <t>SABESP MAR</t>
  </si>
  <si>
    <t>FIES ABR</t>
  </si>
  <si>
    <t>BRADESCO</t>
  </si>
  <si>
    <t>MATHEUS KOVAC</t>
  </si>
  <si>
    <t>PARCELA DA CAIXA</t>
  </si>
  <si>
    <t>EMP JUCIARA</t>
  </si>
  <si>
    <t>AVON</t>
  </si>
  <si>
    <t>FIES FEV    10490545030647873088700000083055971110000009607 96,07</t>
  </si>
  <si>
    <t xml:space="preserve">SABESP Fevereiro/2017 </t>
  </si>
  <si>
    <t>R$ 51,76</t>
  </si>
  <si>
    <t>82690000000 9 51760097144 7 62066818031 3 02419017022 5</t>
  </si>
  <si>
    <t xml:space="preserve">SABESP Março/2017 </t>
  </si>
  <si>
    <t>R$ 46,83</t>
  </si>
  <si>
    <t>82640000000 4 46830097144 6 72066818031 1 82210817032 2</t>
  </si>
  <si>
    <t>ELETROPAULO FEV 836500000010493800481001024513225813000585608383   149,38</t>
  </si>
  <si>
    <t>ELETROPAULO MAR 836300000012343000481006043091343715000585608383   134,30</t>
  </si>
  <si>
    <t>R$ 500,00 BRADESCO</t>
  </si>
  <si>
    <t>R$ 70,00 Matheus</t>
  </si>
  <si>
    <t xml:space="preserve">R$ 610 PARCELA DA CAIXA </t>
  </si>
  <si>
    <t xml:space="preserve">R$ 600 CONSÓRCIO </t>
  </si>
  <si>
    <t xml:space="preserve">R$ 150 EMP JUCIARA </t>
  </si>
  <si>
    <t>R$ 286 AVON</t>
  </si>
  <si>
    <t xml:space="preserve">R$ 1000 MINHA CARTA </t>
  </si>
  <si>
    <t xml:space="preserve">R$ 1000 fechamento da empresa </t>
  </si>
  <si>
    <t>CREDIARIO AUTOMATICO PA</t>
  </si>
  <si>
    <t>4.138,67</t>
  </si>
  <si>
    <t>06.01.2017</t>
  </si>
  <si>
    <t>376,63</t>
  </si>
  <si>
    <t>24.04.2017</t>
  </si>
  <si>
    <t>DEBITO C/C</t>
  </si>
  <si>
    <t>4.280,67</t>
  </si>
  <si>
    <t>CREDITO CONSIGNADO</t>
  </si>
  <si>
    <t>5.903,47</t>
  </si>
  <si>
    <t>390,73</t>
  </si>
  <si>
    <t>CONSIG EM FOLHA</t>
  </si>
  <si>
    <t>1.023,33</t>
  </si>
  <si>
    <t>24.02.2017</t>
  </si>
  <si>
    <t>171,13</t>
  </si>
  <si>
    <t>25.04.2017</t>
  </si>
  <si>
    <t>1.108,19</t>
  </si>
  <si>
    <t>Total</t>
  </si>
  <si>
    <t>11.065,47</t>
  </si>
  <si>
    <t>938,49</t>
  </si>
  <si>
    <t>10.927,84</t>
  </si>
  <si>
    <t>5.538,98Renovar</t>
  </si>
  <si>
    <t>Produto</t>
  </si>
  <si>
    <t>Valor contratado</t>
  </si>
  <si>
    <t>Data de contratação</t>
  </si>
  <si>
    <t>Valor da parcela no vencimento</t>
  </si>
  <si>
    <t>Data de vencimento da parcela</t>
  </si>
  <si>
    <t>Qtd. de parcelas a pagar</t>
  </si>
  <si>
    <t>Qtd. total de parcelas</t>
  </si>
  <si>
    <t>Forma de pagto.</t>
  </si>
  <si>
    <t>Valor atual da sua dívida(1)</t>
  </si>
  <si>
    <t>000001130672486 CREDAUTOMPA 03 36 376,63 0,00 4.314,12 4.314,12 000001142498318 CREDAUTOMPA 01 10 171,13 0,00 1.117,36 1.117,36</t>
  </si>
  <si>
    <t>AGO</t>
  </si>
  <si>
    <t>CEF CONSTRUÇÃO</t>
  </si>
  <si>
    <t>SABESP JUN</t>
  </si>
  <si>
    <t>seguro 10/008</t>
  </si>
  <si>
    <t>seguro 10/009</t>
  </si>
  <si>
    <t>CAIXA EVOLUÇAO OBRA</t>
  </si>
  <si>
    <t>PACOTE CEF</t>
  </si>
  <si>
    <t>VEMAR CONSORCIO  060/015</t>
  </si>
  <si>
    <t>EMPRESTIMO 0036 / 008</t>
  </si>
  <si>
    <t>EMPRESTIMO 0036 / 009</t>
  </si>
  <si>
    <t>VEMAR CONSORCIO  060/012</t>
  </si>
  <si>
    <t>NUBANK</t>
  </si>
  <si>
    <t>EMPRESTIMO 0036 / 010</t>
  </si>
  <si>
    <t>MULTA</t>
  </si>
  <si>
    <t>SABESP SET</t>
  </si>
  <si>
    <t>ELETROPAULO OUT</t>
  </si>
  <si>
    <t>Licenciamento</t>
  </si>
  <si>
    <t>ELETROPAULO DEZ</t>
  </si>
  <si>
    <t>SABESP DEZ</t>
  </si>
  <si>
    <t>VEMAR DEZ</t>
  </si>
  <si>
    <t xml:space="preserve">VEMAR </t>
  </si>
  <si>
    <t>AGO OUT</t>
  </si>
  <si>
    <t>RIACHUELO 05/04</t>
  </si>
  <si>
    <t>NET DEZ</t>
  </si>
  <si>
    <t xml:space="preserve">IARA </t>
  </si>
  <si>
    <t>IPVA 19/01</t>
  </si>
  <si>
    <t>IPVA 19/02</t>
  </si>
  <si>
    <t>RIACHUELO 05/05</t>
  </si>
  <si>
    <t>VEMAR JAN</t>
  </si>
  <si>
    <t>IPVA total</t>
  </si>
  <si>
    <t>NET FEV</t>
  </si>
  <si>
    <t>NET MARÇO</t>
  </si>
  <si>
    <t>VEMAR FEV</t>
  </si>
  <si>
    <t>VEMAR MAR</t>
  </si>
  <si>
    <t>VEMAR ABR</t>
  </si>
  <si>
    <t>PUERI PAX Mai</t>
  </si>
  <si>
    <t>Carrefour</t>
  </si>
  <si>
    <t xml:space="preserve">Sabesp </t>
  </si>
  <si>
    <t>Eletropaulo</t>
  </si>
  <si>
    <t>NET ABR</t>
  </si>
  <si>
    <t>NET MAI</t>
  </si>
  <si>
    <t xml:space="preserve">PUERI PAX ABR - </t>
  </si>
  <si>
    <t>VEMAR MAIO</t>
  </si>
  <si>
    <t>PUERI PAX Junho</t>
  </si>
  <si>
    <t>NET JUNHO</t>
  </si>
  <si>
    <t>CARTÃO ITAU</t>
  </si>
  <si>
    <t>TFE DAMSP</t>
  </si>
  <si>
    <t>Riachuelo</t>
  </si>
  <si>
    <t>/ 001</t>
  </si>
  <si>
    <t>A PAGAR</t>
  </si>
  <si>
    <t>/ 002</t>
  </si>
  <si>
    <t>/ 003</t>
  </si>
  <si>
    <t>/ 004</t>
  </si>
  <si>
    <t>/ 005</t>
  </si>
  <si>
    <t>/ 006</t>
  </si>
  <si>
    <t>/ 007</t>
  </si>
  <si>
    <t>/ 008</t>
  </si>
  <si>
    <t>/ 009</t>
  </si>
  <si>
    <t>/ 010</t>
  </si>
  <si>
    <t>/ 011</t>
  </si>
  <si>
    <t>/ 012</t>
  </si>
  <si>
    <t>/ 013</t>
  </si>
  <si>
    <t>/ 014</t>
  </si>
  <si>
    <t>/ 015</t>
  </si>
  <si>
    <t>/ 016</t>
  </si>
  <si>
    <t>/ 017</t>
  </si>
  <si>
    <t>/ 018</t>
  </si>
  <si>
    <t>/ 019</t>
  </si>
  <si>
    <t>/ 020</t>
  </si>
  <si>
    <t>/ 021</t>
  </si>
  <si>
    <t>/ 022</t>
  </si>
  <si>
    <t>/ 023</t>
  </si>
  <si>
    <t>/ 024</t>
  </si>
  <si>
    <t>/ 025</t>
  </si>
  <si>
    <t>/ 026</t>
  </si>
  <si>
    <t>/ 027</t>
  </si>
  <si>
    <t>/ 028</t>
  </si>
  <si>
    <t>/ 029</t>
  </si>
  <si>
    <t>/ 030</t>
  </si>
  <si>
    <t>/ 031</t>
  </si>
  <si>
    <t>/ 032</t>
  </si>
  <si>
    <t>/ 033</t>
  </si>
  <si>
    <t>/ 034</t>
  </si>
  <si>
    <t>/ 035</t>
  </si>
  <si>
    <t>/ 036</t>
  </si>
  <si>
    <t>/ 037</t>
  </si>
  <si>
    <t>/ 038</t>
  </si>
  <si>
    <t>/ 039</t>
  </si>
  <si>
    <t>/ 040</t>
  </si>
  <si>
    <t>/ 041</t>
  </si>
  <si>
    <t>/ 042</t>
  </si>
  <si>
    <t>/ 043</t>
  </si>
  <si>
    <t>/ 044</t>
  </si>
  <si>
    <t>/ 045</t>
  </si>
  <si>
    <t>/ 046</t>
  </si>
  <si>
    <t>/ 047</t>
  </si>
  <si>
    <t>/ 048</t>
  </si>
  <si>
    <t>A PAGA</t>
  </si>
  <si>
    <t>nubank</t>
  </si>
  <si>
    <t>ELETROPAULO JUNHO</t>
  </si>
  <si>
    <t>SABES MAIO</t>
  </si>
  <si>
    <t>VEMAR julho</t>
  </si>
  <si>
    <t>PUERI PAX julho</t>
  </si>
  <si>
    <t>NET julho</t>
  </si>
  <si>
    <t>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</si>
</sst>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mm"/>
    <numFmt numFmtId="167" formatCode="mm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.85"/>
      <color rgb="FF333333"/>
      <name val="Tahoma"/>
      <family val="2"/>
    </font>
    <font>
      <sz val="11"/>
      <color rgb="FF333333"/>
      <name val="Tahoma"/>
      <family val="2"/>
    </font>
    <font>
      <b/>
      <sz val="11"/>
      <color rgb="FF333333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AD1D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9">
    <xf numFmtId="0" fontId="0" fillId="0" borderId="0" xfId="0"/>
    <xf numFmtId="0" fontId="0" fillId="2" borderId="1" xfId="0" applyFill="1" applyBorder="1" applyAlignment="1">
      <alignment horizontal="center"/>
    </xf>
    <xf numFmtId="165" fontId="0" fillId="4" borderId="1" xfId="1" applyFont="1" applyFill="1" applyBorder="1"/>
    <xf numFmtId="0" fontId="0" fillId="4" borderId="1" xfId="0" applyFill="1" applyBorder="1"/>
    <xf numFmtId="165" fontId="0" fillId="5" borderId="1" xfId="0" applyNumberFormat="1" applyFill="1" applyBorder="1"/>
    <xf numFmtId="164" fontId="0" fillId="4" borderId="1" xfId="1" applyNumberFormat="1" applyFont="1" applyFill="1" applyBorder="1"/>
    <xf numFmtId="165" fontId="0" fillId="2" borderId="1" xfId="1" applyFont="1" applyFill="1" applyBorder="1"/>
    <xf numFmtId="165" fontId="4" fillId="0" borderId="1" xfId="1" applyFont="1" applyBorder="1"/>
    <xf numFmtId="165" fontId="3" fillId="0" borderId="1" xfId="1" applyFont="1" applyBorder="1"/>
    <xf numFmtId="165" fontId="3" fillId="7" borderId="1" xfId="1" applyFont="1" applyFill="1" applyBorder="1"/>
    <xf numFmtId="0" fontId="0" fillId="6" borderId="1" xfId="0" applyFill="1" applyBorder="1"/>
    <xf numFmtId="165" fontId="5" fillId="9" borderId="1" xfId="1" applyFont="1" applyFill="1" applyBorder="1"/>
    <xf numFmtId="165" fontId="5" fillId="0" borderId="1" xfId="1" applyFont="1" applyBorder="1"/>
    <xf numFmtId="0" fontId="2" fillId="8" borderId="1" xfId="0" applyFont="1" applyFill="1" applyBorder="1" applyAlignment="1">
      <alignment horizontal="center"/>
    </xf>
    <xf numFmtId="165" fontId="0" fillId="4" borderId="1" xfId="0" applyNumberFormat="1" applyFill="1" applyBorder="1"/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165" fontId="0" fillId="3" borderId="1" xfId="1" applyFont="1" applyFill="1" applyBorder="1" applyAlignment="1">
      <alignment horizontal="center"/>
    </xf>
    <xf numFmtId="165" fontId="0" fillId="5" borderId="1" xfId="1" applyFont="1" applyFill="1" applyBorder="1"/>
    <xf numFmtId="0" fontId="6" fillId="0" borderId="0" xfId="0" applyFont="1"/>
    <xf numFmtId="16" fontId="7" fillId="2" borderId="1" xfId="0" applyNumberFormat="1" applyFont="1" applyFill="1" applyBorder="1" applyAlignment="1">
      <alignment horizontal="left" vertical="center" wrapText="1" indent="1"/>
    </xf>
    <xf numFmtId="0" fontId="0" fillId="2" borderId="2" xfId="0" applyFill="1" applyBorder="1" applyAlignment="1"/>
    <xf numFmtId="0" fontId="0" fillId="2" borderId="3" xfId="0" applyFill="1" applyBorder="1" applyAlignment="1"/>
    <xf numFmtId="165" fontId="0" fillId="0" borderId="0" xfId="0" applyNumberFormat="1" applyAlignment="1">
      <alignment horizontal="center"/>
    </xf>
    <xf numFmtId="0" fontId="0" fillId="6" borderId="1" xfId="0" applyFont="1" applyFill="1" applyBorder="1"/>
    <xf numFmtId="165" fontId="1" fillId="4" borderId="1" xfId="1" applyFont="1" applyFill="1" applyBorder="1"/>
    <xf numFmtId="16" fontId="0" fillId="0" borderId="0" xfId="0" applyNumberFormat="1"/>
    <xf numFmtId="165" fontId="0" fillId="0" borderId="0" xfId="1" applyFont="1"/>
    <xf numFmtId="16" fontId="0" fillId="0" borderId="0" xfId="0" applyNumberFormat="1" applyAlignment="1">
      <alignment horizontal="center"/>
    </xf>
    <xf numFmtId="0" fontId="2" fillId="0" borderId="0" xfId="0" applyFont="1"/>
    <xf numFmtId="16" fontId="8" fillId="0" borderId="0" xfId="0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right" vertical="center" wrapText="1"/>
    </xf>
    <xf numFmtId="0" fontId="0" fillId="2" borderId="4" xfId="0" applyFill="1" applyBorder="1" applyAlignment="1"/>
    <xf numFmtId="165" fontId="0" fillId="4" borderId="3" xfId="1" applyFont="1" applyFill="1" applyBorder="1"/>
    <xf numFmtId="0" fontId="0" fillId="2" borderId="5" xfId="0" applyFill="1" applyBorder="1" applyAlignment="1"/>
    <xf numFmtId="4" fontId="0" fillId="0" borderId="0" xfId="0" applyNumberFormat="1"/>
    <xf numFmtId="4" fontId="9" fillId="0" borderId="0" xfId="0" applyNumberFormat="1" applyFont="1"/>
    <xf numFmtId="0" fontId="2" fillId="0" borderId="0" xfId="0" applyFont="1" applyAlignment="1">
      <alignment horizontal="center"/>
    </xf>
    <xf numFmtId="165" fontId="1" fillId="0" borderId="0" xfId="1" applyFont="1"/>
    <xf numFmtId="165" fontId="0" fillId="11" borderId="0" xfId="0" applyNumberFormat="1" applyFill="1"/>
    <xf numFmtId="0" fontId="0" fillId="11" borderId="0" xfId="0" applyFill="1"/>
    <xf numFmtId="0" fontId="3" fillId="6" borderId="1" xfId="0" applyFont="1" applyFill="1" applyBorder="1"/>
    <xf numFmtId="14" fontId="0" fillId="0" borderId="0" xfId="0" applyNumberFormat="1"/>
    <xf numFmtId="3" fontId="0" fillId="0" borderId="0" xfId="0" applyNumberFormat="1"/>
    <xf numFmtId="0" fontId="12" fillId="0" borderId="0" xfId="0" applyFont="1"/>
    <xf numFmtId="0" fontId="0" fillId="10" borderId="1" xfId="0" applyFill="1" applyBorder="1"/>
    <xf numFmtId="165" fontId="2" fillId="2" borderId="2" xfId="1" applyFont="1" applyFill="1" applyBorder="1" applyAlignment="1">
      <alignment horizontal="center"/>
    </xf>
    <xf numFmtId="165" fontId="2" fillId="2" borderId="4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6" fontId="2" fillId="4" borderId="2" xfId="0" applyNumberFormat="1" applyFont="1" applyFill="1" applyBorder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5" fontId="3" fillId="10" borderId="2" xfId="1" applyFont="1" applyFill="1" applyBorder="1" applyAlignment="1">
      <alignment horizontal="left"/>
    </xf>
    <xf numFmtId="165" fontId="3" fillId="10" borderId="3" xfId="1" applyFont="1" applyFill="1" applyBorder="1" applyAlignment="1">
      <alignment horizontal="left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7" fontId="2" fillId="6" borderId="1" xfId="0" applyNumberFormat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Y43"/>
  <sheetViews>
    <sheetView zoomScaleNormal="100" workbookViewId="0">
      <selection activeCell="D14" sqref="D14"/>
    </sheetView>
  </sheetViews>
  <sheetFormatPr defaultColWidth="10.5703125" defaultRowHeight="15" x14ac:dyDescent="0.25"/>
  <cols>
    <col min="1" max="1" width="10" bestFit="1" customWidth="1"/>
    <col min="2" max="2" width="32.5703125" bestFit="1" customWidth="1"/>
    <col min="3" max="3" width="10.5703125" bestFit="1" customWidth="1"/>
    <col min="4" max="4" width="12.140625" bestFit="1" customWidth="1"/>
    <col min="5" max="5" width="7.8554687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2.140625" bestFit="1" customWidth="1"/>
    <col min="11" max="11" width="7.85546875" bestFit="1" customWidth="1"/>
    <col min="12" max="12" width="12.140625" bestFit="1" customWidth="1"/>
    <col min="13" max="13" width="7.85546875" bestFit="1" customWidth="1"/>
    <col min="14" max="14" width="12.140625" bestFit="1" customWidth="1"/>
  </cols>
  <sheetData>
    <row r="1" spans="1:25" x14ac:dyDescent="0.25">
      <c r="A1" s="49" t="s">
        <v>11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1"/>
    </row>
    <row r="2" spans="1:25" x14ac:dyDescent="0.25">
      <c r="A2" s="13" t="s">
        <v>2</v>
      </c>
      <c r="B2" s="13" t="s">
        <v>3</v>
      </c>
      <c r="C2" s="52">
        <v>42454</v>
      </c>
      <c r="D2" s="53"/>
      <c r="E2" s="52">
        <v>42485</v>
      </c>
      <c r="F2" s="53"/>
      <c r="G2" s="52">
        <v>42515</v>
      </c>
      <c r="H2" s="53"/>
      <c r="I2" s="52">
        <v>42546</v>
      </c>
      <c r="J2" s="53"/>
      <c r="K2" s="52">
        <v>42576</v>
      </c>
      <c r="L2" s="53"/>
      <c r="M2" s="52">
        <v>42607</v>
      </c>
      <c r="N2" s="53"/>
    </row>
    <row r="3" spans="1:25" x14ac:dyDescent="0.25">
      <c r="A3" s="22"/>
      <c r="B3" s="6" t="s">
        <v>124</v>
      </c>
      <c r="C3" s="1" t="s">
        <v>125</v>
      </c>
      <c r="D3" s="2">
        <v>121.34</v>
      </c>
      <c r="E3" s="1" t="s">
        <v>91</v>
      </c>
      <c r="F3" s="2">
        <v>121.34</v>
      </c>
      <c r="G3" s="1" t="s">
        <v>92</v>
      </c>
      <c r="H3" s="2">
        <v>121.34</v>
      </c>
      <c r="I3" s="1"/>
      <c r="J3" s="2"/>
      <c r="K3" s="1"/>
      <c r="L3" s="2"/>
      <c r="M3" s="1"/>
      <c r="N3" s="2"/>
    </row>
    <row r="4" spans="1:25" x14ac:dyDescent="0.25">
      <c r="A4" s="22">
        <v>42353</v>
      </c>
      <c r="B4" s="6" t="s">
        <v>100</v>
      </c>
      <c r="C4" s="1" t="s">
        <v>101</v>
      </c>
      <c r="D4" s="2">
        <v>46</v>
      </c>
      <c r="E4" s="1" t="s">
        <v>102</v>
      </c>
      <c r="F4" s="2">
        <v>46</v>
      </c>
      <c r="G4" s="1"/>
      <c r="H4" s="2"/>
      <c r="I4" s="1"/>
      <c r="J4" s="2"/>
      <c r="K4" s="1"/>
      <c r="L4" s="2"/>
      <c r="M4" s="1"/>
      <c r="N4" s="2"/>
    </row>
    <row r="5" spans="1:25" x14ac:dyDescent="0.25">
      <c r="A5" s="22">
        <v>42231</v>
      </c>
      <c r="B5" s="6" t="s">
        <v>111</v>
      </c>
      <c r="C5" s="1" t="s">
        <v>92</v>
      </c>
      <c r="D5" s="2">
        <v>37.340000000000003</v>
      </c>
      <c r="E5" s="1"/>
      <c r="F5" s="2"/>
      <c r="G5" s="1"/>
      <c r="H5" s="2"/>
      <c r="I5" s="1"/>
      <c r="J5" s="2"/>
      <c r="K5" s="1"/>
      <c r="L5" s="2"/>
      <c r="M5" s="1"/>
      <c r="N5" s="2"/>
    </row>
    <row r="6" spans="1:25" x14ac:dyDescent="0.25">
      <c r="A6" s="22">
        <v>42233</v>
      </c>
      <c r="B6" s="6" t="s">
        <v>64</v>
      </c>
      <c r="C6" s="1" t="s">
        <v>42</v>
      </c>
      <c r="D6" s="2">
        <v>170.1</v>
      </c>
      <c r="E6" s="1" t="s">
        <v>43</v>
      </c>
      <c r="F6" s="2">
        <v>170.1</v>
      </c>
      <c r="G6" s="1" t="s">
        <v>57</v>
      </c>
      <c r="H6" s="2">
        <v>170.1</v>
      </c>
      <c r="I6" s="1" t="s">
        <v>58</v>
      </c>
      <c r="J6" s="2">
        <v>170.1</v>
      </c>
      <c r="K6" s="1"/>
      <c r="L6" s="2"/>
      <c r="M6" s="1"/>
      <c r="N6" s="2"/>
    </row>
    <row r="7" spans="1:25" x14ac:dyDescent="0.25">
      <c r="A7" s="22">
        <v>42081</v>
      </c>
      <c r="B7" s="6" t="s">
        <v>103</v>
      </c>
      <c r="C7" s="1" t="s">
        <v>92</v>
      </c>
      <c r="D7" s="2">
        <v>57.56</v>
      </c>
      <c r="E7" s="1"/>
      <c r="F7" s="2"/>
      <c r="G7" s="1"/>
      <c r="H7" s="2"/>
      <c r="I7" s="1"/>
      <c r="J7" s="2"/>
      <c r="K7" s="1"/>
      <c r="L7" s="2"/>
      <c r="M7" s="1"/>
      <c r="N7" s="2"/>
    </row>
    <row r="8" spans="1:25" x14ac:dyDescent="0.25">
      <c r="A8" s="22">
        <v>42303</v>
      </c>
      <c r="B8" s="6" t="s">
        <v>104</v>
      </c>
      <c r="C8" s="1" t="s">
        <v>92</v>
      </c>
      <c r="D8" s="2">
        <v>76</v>
      </c>
      <c r="E8" s="1"/>
      <c r="F8" s="2"/>
      <c r="G8" s="1"/>
      <c r="H8" s="2"/>
      <c r="I8" s="1"/>
      <c r="J8" s="2"/>
      <c r="K8" s="1"/>
      <c r="L8" s="2"/>
      <c r="M8" s="1"/>
      <c r="N8" s="2"/>
    </row>
    <row r="9" spans="1:25" x14ac:dyDescent="0.25">
      <c r="A9" s="22">
        <v>42084</v>
      </c>
      <c r="B9" s="6" t="s">
        <v>105</v>
      </c>
      <c r="C9" s="1" t="s">
        <v>106</v>
      </c>
      <c r="D9" s="2">
        <v>45.26</v>
      </c>
      <c r="E9" s="1" t="s">
        <v>107</v>
      </c>
      <c r="F9" s="2">
        <v>45.26</v>
      </c>
      <c r="G9" s="1"/>
      <c r="H9" s="2"/>
      <c r="I9" s="1"/>
      <c r="J9" s="2"/>
      <c r="K9" s="1"/>
      <c r="L9" s="2"/>
      <c r="M9" s="1"/>
      <c r="N9" s="2"/>
    </row>
    <row r="10" spans="1:25" x14ac:dyDescent="0.25">
      <c r="A10" s="22"/>
      <c r="B10" s="6" t="s">
        <v>17</v>
      </c>
      <c r="C10" s="1" t="s">
        <v>96</v>
      </c>
      <c r="D10" s="2">
        <v>90.5</v>
      </c>
      <c r="E10" s="1"/>
      <c r="F10" s="2"/>
      <c r="G10" s="1"/>
      <c r="H10" s="2"/>
      <c r="I10" s="1"/>
      <c r="J10" s="2"/>
      <c r="K10" s="1"/>
      <c r="L10" s="2"/>
      <c r="M10" s="1"/>
      <c r="N10" s="2"/>
    </row>
    <row r="11" spans="1:25" x14ac:dyDescent="0.25">
      <c r="A11" s="22">
        <v>42089</v>
      </c>
      <c r="B11" s="6" t="s">
        <v>17</v>
      </c>
      <c r="C11" s="1" t="s">
        <v>112</v>
      </c>
      <c r="D11" s="2">
        <v>131.69999999999999</v>
      </c>
      <c r="E11" s="1" t="s">
        <v>116</v>
      </c>
      <c r="F11" s="2">
        <v>131.69999999999999</v>
      </c>
      <c r="G11" s="1" t="s">
        <v>117</v>
      </c>
      <c r="H11" s="2">
        <v>131.69999999999999</v>
      </c>
      <c r="I11" s="1" t="s">
        <v>118</v>
      </c>
      <c r="J11" s="2">
        <v>131.69999999999999</v>
      </c>
      <c r="K11" s="1" t="s">
        <v>119</v>
      </c>
      <c r="L11" s="2">
        <v>131.69999999999999</v>
      </c>
      <c r="M11" s="1"/>
      <c r="N11" s="2"/>
    </row>
    <row r="12" spans="1:25" x14ac:dyDescent="0.25">
      <c r="A12" s="22"/>
      <c r="B12" s="6" t="s">
        <v>113</v>
      </c>
      <c r="C12" s="1" t="s">
        <v>112</v>
      </c>
      <c r="D12" s="2">
        <v>125</v>
      </c>
      <c r="E12" s="1" t="s">
        <v>116</v>
      </c>
      <c r="F12" s="2">
        <v>125</v>
      </c>
      <c r="G12" s="1" t="s">
        <v>117</v>
      </c>
      <c r="H12" s="2">
        <v>125</v>
      </c>
      <c r="I12" s="1" t="s">
        <v>118</v>
      </c>
      <c r="J12" s="2">
        <v>125</v>
      </c>
      <c r="K12" s="1" t="s">
        <v>119</v>
      </c>
      <c r="L12" s="2">
        <v>125</v>
      </c>
      <c r="M12" s="1"/>
      <c r="N12" s="2"/>
    </row>
    <row r="13" spans="1:25" x14ac:dyDescent="0.25">
      <c r="A13" s="22"/>
      <c r="B13" s="6" t="s">
        <v>114</v>
      </c>
      <c r="C13" s="1" t="s">
        <v>96</v>
      </c>
      <c r="D13" s="2">
        <v>120</v>
      </c>
      <c r="E13" s="1"/>
      <c r="F13" s="2"/>
      <c r="G13" s="1"/>
      <c r="H13" s="2"/>
      <c r="I13" s="1"/>
      <c r="J13" s="2"/>
      <c r="K13" s="1"/>
      <c r="L13" s="2"/>
      <c r="M13" s="1"/>
      <c r="N13" s="2"/>
    </row>
    <row r="14" spans="1:25" x14ac:dyDescent="0.25">
      <c r="A14" s="22"/>
      <c r="B14" s="6" t="s">
        <v>115</v>
      </c>
      <c r="C14" s="1" t="s">
        <v>112</v>
      </c>
      <c r="D14" s="2">
        <v>363.84</v>
      </c>
      <c r="E14" s="1" t="s">
        <v>116</v>
      </c>
      <c r="F14" s="2">
        <v>363.84</v>
      </c>
      <c r="G14" s="1" t="s">
        <v>117</v>
      </c>
      <c r="H14" s="2">
        <v>363.84</v>
      </c>
      <c r="I14" s="1" t="s">
        <v>118</v>
      </c>
      <c r="J14" s="2">
        <v>363.84</v>
      </c>
      <c r="K14" s="1" t="s">
        <v>119</v>
      </c>
      <c r="L14" s="2">
        <v>363.84</v>
      </c>
      <c r="M14" s="1"/>
      <c r="N14" s="2"/>
    </row>
    <row r="15" spans="1:25" x14ac:dyDescent="0.25">
      <c r="A15" s="22"/>
      <c r="B15" s="6" t="s">
        <v>97</v>
      </c>
      <c r="C15" s="1"/>
      <c r="D15" s="2">
        <v>19.899999999999999</v>
      </c>
      <c r="E15" s="1"/>
      <c r="F15" s="2">
        <v>19.899999999999999</v>
      </c>
      <c r="G15" s="1"/>
      <c r="H15" s="2">
        <v>19.899999999999999</v>
      </c>
      <c r="I15" s="1"/>
      <c r="J15" s="2">
        <v>19.899999999999999</v>
      </c>
      <c r="K15" s="1"/>
      <c r="L15" s="2">
        <v>19.899999999999999</v>
      </c>
      <c r="M15" s="1"/>
      <c r="N15" s="2">
        <v>19.899999999999999</v>
      </c>
    </row>
    <row r="16" spans="1:25" x14ac:dyDescent="0.25">
      <c r="A16" s="6"/>
      <c r="B16" s="6" t="s">
        <v>8</v>
      </c>
      <c r="C16" s="1"/>
      <c r="D16" s="14">
        <f>C43</f>
        <v>141.32</v>
      </c>
      <c r="E16" s="1"/>
      <c r="F16" s="3"/>
      <c r="G16" s="1"/>
      <c r="H16" s="3"/>
      <c r="I16" s="1"/>
      <c r="J16" s="3"/>
      <c r="K16" s="1"/>
      <c r="L16" s="3"/>
      <c r="M16" s="1"/>
      <c r="N16" s="3"/>
    </row>
    <row r="17" spans="1:18" x14ac:dyDescent="0.25">
      <c r="A17" s="6"/>
      <c r="B17" s="6" t="s">
        <v>4</v>
      </c>
      <c r="C17" s="19"/>
      <c r="D17" s="20">
        <f t="shared" ref="D17" si="0">SUM(D3:D16)</f>
        <v>1545.86</v>
      </c>
      <c r="E17" s="19"/>
      <c r="F17" s="20">
        <f t="shared" ref="F17" si="1">SUM(F3:F16)</f>
        <v>1023.14</v>
      </c>
      <c r="G17" s="19"/>
      <c r="H17" s="20">
        <f t="shared" ref="H17:L17" si="2">SUM(H3:H16)</f>
        <v>931.88</v>
      </c>
      <c r="I17" s="19"/>
      <c r="J17" s="20">
        <f t="shared" ref="J17:N17" si="3">SUM(J3:J16)</f>
        <v>810.53999999999985</v>
      </c>
      <c r="K17" s="19"/>
      <c r="L17" s="20">
        <f t="shared" si="2"/>
        <v>640.43999999999994</v>
      </c>
      <c r="M17" s="19"/>
      <c r="N17" s="20">
        <f t="shared" si="3"/>
        <v>19.899999999999999</v>
      </c>
    </row>
    <row r="19" spans="1:18" x14ac:dyDescent="0.25">
      <c r="A19" s="49" t="s">
        <v>12</v>
      </c>
      <c r="B19" s="50"/>
      <c r="C19" s="51"/>
      <c r="E19" s="15"/>
    </row>
    <row r="20" spans="1:18" x14ac:dyDescent="0.25">
      <c r="A20" s="24" t="s">
        <v>120</v>
      </c>
      <c r="B20" s="24"/>
      <c r="C20" s="2">
        <v>20.5</v>
      </c>
      <c r="E20" s="42"/>
      <c r="F20" s="43"/>
      <c r="H20" s="15" t="s">
        <v>26</v>
      </c>
    </row>
    <row r="21" spans="1:18" x14ac:dyDescent="0.25">
      <c r="A21" s="24" t="s">
        <v>121</v>
      </c>
      <c r="B21" s="24"/>
      <c r="C21" s="2">
        <v>50</v>
      </c>
      <c r="E21" s="42"/>
      <c r="F21" s="43"/>
      <c r="G21" s="15"/>
    </row>
    <row r="22" spans="1:18" x14ac:dyDescent="0.25">
      <c r="A22" s="23" t="s">
        <v>122</v>
      </c>
      <c r="B22" s="24"/>
      <c r="C22" s="27">
        <v>44.72</v>
      </c>
      <c r="E22" s="42"/>
      <c r="F22" s="43"/>
      <c r="J22" s="28"/>
      <c r="P22" s="28"/>
      <c r="Q22" s="21"/>
      <c r="R22" s="21"/>
    </row>
    <row r="23" spans="1:18" x14ac:dyDescent="0.25">
      <c r="A23" s="23" t="s">
        <v>123</v>
      </c>
      <c r="B23" s="24"/>
      <c r="C23" s="2">
        <v>7.2</v>
      </c>
      <c r="E23" s="43"/>
      <c r="F23" s="43"/>
      <c r="J23" s="28"/>
      <c r="P23" s="28"/>
    </row>
    <row r="24" spans="1:18" x14ac:dyDescent="0.25">
      <c r="A24" s="23" t="s">
        <v>126</v>
      </c>
      <c r="B24" s="24"/>
      <c r="C24" s="2">
        <v>18.899999999999999</v>
      </c>
      <c r="E24" s="43"/>
      <c r="F24" s="43"/>
      <c r="P24" s="28"/>
    </row>
    <row r="25" spans="1:18" x14ac:dyDescent="0.25">
      <c r="A25" s="23"/>
      <c r="B25" s="24"/>
      <c r="C25" s="2"/>
      <c r="E25" s="43"/>
      <c r="F25" s="43"/>
      <c r="P25" s="28"/>
    </row>
    <row r="26" spans="1:18" x14ac:dyDescent="0.25">
      <c r="A26" s="23"/>
      <c r="B26" s="24"/>
      <c r="C26" s="2"/>
      <c r="E26" s="43"/>
      <c r="F26" s="43"/>
      <c r="L26" s="15"/>
      <c r="P26" s="28"/>
    </row>
    <row r="27" spans="1:18" x14ac:dyDescent="0.25">
      <c r="A27" s="23"/>
      <c r="B27" s="24"/>
      <c r="C27" s="14"/>
      <c r="E27" s="43"/>
      <c r="F27" s="43"/>
      <c r="P27" s="28"/>
    </row>
    <row r="28" spans="1:18" x14ac:dyDescent="0.25">
      <c r="A28" s="23"/>
      <c r="B28" s="24"/>
      <c r="C28" s="14"/>
      <c r="E28" s="43"/>
      <c r="F28" s="43"/>
      <c r="P28" s="28"/>
    </row>
    <row r="29" spans="1:18" x14ac:dyDescent="0.25">
      <c r="A29" s="23"/>
      <c r="B29" s="24"/>
      <c r="C29" s="14"/>
      <c r="E29" s="43"/>
      <c r="F29" s="43"/>
      <c r="P29" s="28"/>
    </row>
    <row r="30" spans="1:18" x14ac:dyDescent="0.25">
      <c r="A30" s="23"/>
      <c r="B30" s="24"/>
      <c r="C30" s="14"/>
      <c r="E30" s="43"/>
      <c r="F30" s="43"/>
      <c r="P30" s="28"/>
    </row>
    <row r="31" spans="1:18" x14ac:dyDescent="0.25">
      <c r="A31" s="23"/>
      <c r="B31" s="24"/>
      <c r="C31" s="14"/>
      <c r="E31" s="43"/>
      <c r="F31" s="43"/>
      <c r="P31" s="28"/>
    </row>
    <row r="32" spans="1:18" x14ac:dyDescent="0.25">
      <c r="A32" s="23"/>
      <c r="B32" s="24"/>
      <c r="C32" s="14"/>
      <c r="E32" s="43"/>
      <c r="F32" s="43"/>
      <c r="P32" s="28"/>
    </row>
    <row r="33" spans="1:18" x14ac:dyDescent="0.25">
      <c r="A33" s="23"/>
      <c r="B33" s="24"/>
      <c r="C33" s="14"/>
      <c r="E33" s="43"/>
      <c r="F33" s="43"/>
      <c r="P33" s="28"/>
    </row>
    <row r="34" spans="1:18" x14ac:dyDescent="0.25">
      <c r="A34" s="23"/>
      <c r="B34" s="24"/>
      <c r="C34" s="14"/>
      <c r="E34" s="43"/>
      <c r="F34" s="43"/>
      <c r="P34" s="28"/>
    </row>
    <row r="35" spans="1:18" x14ac:dyDescent="0.25">
      <c r="A35" s="23"/>
      <c r="B35" s="24"/>
      <c r="C35" s="14"/>
      <c r="E35" s="43"/>
      <c r="F35" s="43"/>
      <c r="P35" s="28"/>
    </row>
    <row r="36" spans="1:18" x14ac:dyDescent="0.25">
      <c r="A36" s="23"/>
      <c r="B36" s="24"/>
      <c r="C36" s="14"/>
      <c r="E36" s="43"/>
      <c r="F36" s="43"/>
    </row>
    <row r="37" spans="1:18" x14ac:dyDescent="0.25">
      <c r="A37" s="23"/>
      <c r="B37" s="24"/>
      <c r="C37" s="14"/>
      <c r="E37" s="43"/>
      <c r="F37" s="43"/>
    </row>
    <row r="38" spans="1:18" x14ac:dyDescent="0.25">
      <c r="A38" s="23"/>
      <c r="B38" s="24"/>
      <c r="C38" s="14"/>
      <c r="E38" s="43"/>
      <c r="F38" s="43"/>
      <c r="Q38" s="21"/>
      <c r="R38" s="21"/>
    </row>
    <row r="39" spans="1:18" x14ac:dyDescent="0.25">
      <c r="A39" s="23"/>
      <c r="B39" s="24"/>
      <c r="C39" s="14"/>
      <c r="E39" s="43"/>
      <c r="F39" s="43"/>
    </row>
    <row r="40" spans="1:18" x14ac:dyDescent="0.25">
      <c r="A40" s="23"/>
      <c r="B40" s="24"/>
      <c r="C40" s="14"/>
      <c r="E40" s="43"/>
      <c r="F40" s="43"/>
    </row>
    <row r="41" spans="1:18" x14ac:dyDescent="0.25">
      <c r="A41" s="23"/>
      <c r="B41" s="24"/>
      <c r="C41" s="14"/>
      <c r="E41" s="43"/>
      <c r="F41" s="43"/>
    </row>
    <row r="42" spans="1:18" x14ac:dyDescent="0.25">
      <c r="A42" s="23"/>
      <c r="B42" s="24"/>
      <c r="C42" s="14"/>
      <c r="E42" s="43"/>
      <c r="F42" s="43"/>
    </row>
    <row r="43" spans="1:18" x14ac:dyDescent="0.25">
      <c r="C43" s="4">
        <f>SUM(C20:C42)</f>
        <v>141.32</v>
      </c>
    </row>
  </sheetData>
  <mergeCells count="8">
    <mergeCell ref="A19:C19"/>
    <mergeCell ref="A1:Y1"/>
    <mergeCell ref="C2:D2"/>
    <mergeCell ref="E2:F2"/>
    <mergeCell ref="G2:H2"/>
    <mergeCell ref="I2:J2"/>
    <mergeCell ref="K2:L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Y44"/>
  <sheetViews>
    <sheetView zoomScaleNormal="100" workbookViewId="0">
      <selection activeCell="B7" sqref="B7"/>
    </sheetView>
  </sheetViews>
  <sheetFormatPr defaultRowHeight="15" x14ac:dyDescent="0.25"/>
  <cols>
    <col min="1" max="1" width="10" bestFit="1" customWidth="1"/>
    <col min="2" max="2" width="28.5703125" bestFit="1" customWidth="1"/>
    <col min="3" max="4" width="12.140625" bestFit="1" customWidth="1"/>
    <col min="5" max="5" width="9.570312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0.5703125" bestFit="1" customWidth="1"/>
    <col min="11" max="11" width="13.7109375" customWidth="1"/>
    <col min="12" max="12" width="12.140625" bestFit="1" customWidth="1"/>
    <col min="13" max="13" width="7.85546875" bestFit="1" customWidth="1"/>
    <col min="14" max="14" width="10.5703125" bestFit="1" customWidth="1"/>
    <col min="15" max="15" width="7.85546875" bestFit="1" customWidth="1"/>
    <col min="16" max="16" width="9.5703125" bestFit="1" customWidth="1"/>
    <col min="17" max="17" width="7.85546875" bestFit="1" customWidth="1"/>
    <col min="18" max="18" width="9.5703125" bestFit="1" customWidth="1"/>
    <col min="19" max="19" width="10.5703125" bestFit="1" customWidth="1"/>
    <col min="20" max="20" width="7.85546875" bestFit="1" customWidth="1"/>
    <col min="21" max="21" width="10.5703125" bestFit="1" customWidth="1"/>
    <col min="22" max="22" width="7.85546875" bestFit="1" customWidth="1"/>
    <col min="23" max="23" width="10.5703125" bestFit="1" customWidth="1"/>
    <col min="24" max="24" width="7.85546875" bestFit="1" customWidth="1"/>
    <col min="25" max="25" width="10.5703125" bestFit="1" customWidth="1"/>
  </cols>
  <sheetData>
    <row r="1" spans="1:25" x14ac:dyDescent="0.25">
      <c r="A1" s="49" t="s">
        <v>11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1"/>
    </row>
    <row r="2" spans="1:25" x14ac:dyDescent="0.25">
      <c r="A2" s="13" t="s">
        <v>2</v>
      </c>
      <c r="B2" s="13" t="s">
        <v>3</v>
      </c>
      <c r="C2" s="52">
        <v>42302</v>
      </c>
      <c r="D2" s="53"/>
      <c r="E2" s="52">
        <v>42333</v>
      </c>
      <c r="F2" s="53"/>
      <c r="G2" s="52">
        <v>42363</v>
      </c>
      <c r="H2" s="53"/>
      <c r="I2" s="52">
        <v>42394</v>
      </c>
      <c r="J2" s="53"/>
      <c r="K2" s="52">
        <v>42425</v>
      </c>
      <c r="L2" s="53"/>
    </row>
    <row r="3" spans="1:25" x14ac:dyDescent="0.25">
      <c r="A3" s="22"/>
      <c r="B3" s="6" t="s">
        <v>60</v>
      </c>
      <c r="C3" s="1" t="s">
        <v>43</v>
      </c>
      <c r="D3" s="2">
        <v>73.2</v>
      </c>
      <c r="E3" s="1" t="s">
        <v>57</v>
      </c>
      <c r="F3" s="2">
        <v>74.2</v>
      </c>
      <c r="G3" s="1" t="s">
        <v>57</v>
      </c>
      <c r="H3" s="2">
        <v>74.2</v>
      </c>
      <c r="I3" s="1" t="s">
        <v>58</v>
      </c>
      <c r="J3" s="2">
        <v>75.2</v>
      </c>
      <c r="K3" s="1"/>
      <c r="L3" s="2"/>
    </row>
    <row r="4" spans="1:25" x14ac:dyDescent="0.25">
      <c r="A4" s="22"/>
      <c r="B4" s="6" t="s">
        <v>90</v>
      </c>
      <c r="C4" s="1" t="s">
        <v>91</v>
      </c>
      <c r="D4" s="2">
        <v>95.1</v>
      </c>
      <c r="E4" s="1" t="s">
        <v>92</v>
      </c>
      <c r="F4" s="2">
        <v>95.1</v>
      </c>
      <c r="G4" s="1"/>
      <c r="H4" s="2"/>
      <c r="I4" s="1"/>
      <c r="J4" s="2"/>
      <c r="K4" s="1"/>
      <c r="L4" s="2"/>
    </row>
    <row r="5" spans="1:25" x14ac:dyDescent="0.25">
      <c r="A5" s="22"/>
      <c r="B5" s="6" t="s">
        <v>93</v>
      </c>
      <c r="C5" s="1" t="s">
        <v>91</v>
      </c>
      <c r="D5" s="2">
        <v>49.96</v>
      </c>
      <c r="E5" s="1" t="s">
        <v>92</v>
      </c>
      <c r="F5" s="2">
        <v>49.96</v>
      </c>
      <c r="G5" s="1"/>
      <c r="H5" s="2"/>
      <c r="I5" s="1"/>
      <c r="J5" s="2"/>
      <c r="K5" s="1"/>
      <c r="L5" s="2"/>
    </row>
    <row r="6" spans="1:25" x14ac:dyDescent="0.25">
      <c r="A6" s="22"/>
      <c r="B6" s="6" t="s">
        <v>94</v>
      </c>
      <c r="C6" s="1" t="s">
        <v>95</v>
      </c>
      <c r="D6" s="2">
        <v>90</v>
      </c>
      <c r="E6" s="1" t="s">
        <v>96</v>
      </c>
      <c r="F6" s="3"/>
      <c r="G6" s="1"/>
      <c r="H6" s="3"/>
      <c r="I6" s="1"/>
      <c r="J6" s="3"/>
      <c r="K6" s="1"/>
      <c r="L6" s="3"/>
    </row>
    <row r="7" spans="1:25" x14ac:dyDescent="0.25">
      <c r="A7" s="22"/>
      <c r="B7" s="6"/>
      <c r="C7" s="1"/>
      <c r="D7" s="2"/>
      <c r="E7" s="1"/>
      <c r="F7" s="2"/>
      <c r="G7" s="1"/>
      <c r="H7" s="2"/>
      <c r="I7" s="1"/>
      <c r="J7" s="2"/>
      <c r="K7" s="1"/>
      <c r="L7" s="2"/>
    </row>
    <row r="8" spans="1:25" x14ac:dyDescent="0.25">
      <c r="A8" s="22"/>
      <c r="B8" s="6"/>
      <c r="C8" s="1"/>
      <c r="D8" s="3"/>
      <c r="E8" s="1"/>
      <c r="F8" s="3"/>
      <c r="G8" s="1"/>
      <c r="H8" s="3"/>
      <c r="I8" s="1"/>
      <c r="J8" s="3"/>
      <c r="K8" s="1"/>
      <c r="L8" s="3"/>
    </row>
    <row r="9" spans="1:25" x14ac:dyDescent="0.25">
      <c r="A9" s="22"/>
      <c r="B9" s="6"/>
      <c r="C9" s="1"/>
      <c r="D9" s="3"/>
      <c r="E9" s="1"/>
      <c r="F9" s="3"/>
      <c r="G9" s="1"/>
      <c r="H9" s="3"/>
      <c r="I9" s="1"/>
      <c r="J9" s="3"/>
      <c r="K9" s="1"/>
      <c r="L9" s="3"/>
    </row>
    <row r="10" spans="1:25" x14ac:dyDescent="0.25">
      <c r="A10" s="22"/>
      <c r="B10" s="6"/>
      <c r="C10" s="1"/>
      <c r="D10" s="3"/>
      <c r="E10" s="1"/>
      <c r="F10" s="3"/>
      <c r="G10" s="1"/>
      <c r="H10" s="3"/>
      <c r="I10" s="1"/>
      <c r="J10" s="3"/>
      <c r="K10" s="1"/>
      <c r="L10" s="3"/>
    </row>
    <row r="11" spans="1:25" x14ac:dyDescent="0.25">
      <c r="A11" s="22"/>
      <c r="B11" s="6"/>
      <c r="C11" s="1"/>
      <c r="D11" s="3"/>
      <c r="E11" s="1"/>
      <c r="F11" s="3"/>
      <c r="G11" s="1"/>
      <c r="H11" s="3"/>
      <c r="I11" s="1"/>
      <c r="J11" s="3"/>
      <c r="K11" s="1"/>
      <c r="L11" s="3"/>
    </row>
    <row r="12" spans="1:25" x14ac:dyDescent="0.25">
      <c r="A12" s="22"/>
      <c r="B12" s="6"/>
      <c r="C12" s="1"/>
      <c r="D12" s="3"/>
      <c r="E12" s="1"/>
      <c r="F12" s="3"/>
      <c r="G12" s="1"/>
      <c r="H12" s="3"/>
      <c r="I12" s="1"/>
      <c r="J12" s="3"/>
      <c r="K12" s="1"/>
      <c r="L12" s="3"/>
    </row>
    <row r="13" spans="1:25" x14ac:dyDescent="0.25">
      <c r="A13" s="22"/>
      <c r="B13" s="6"/>
      <c r="C13" s="1"/>
      <c r="D13" s="5"/>
      <c r="E13" s="1"/>
      <c r="F13" s="5"/>
      <c r="G13" s="1"/>
      <c r="H13" s="5"/>
      <c r="I13" s="1"/>
      <c r="J13" s="5"/>
      <c r="K13" s="1"/>
      <c r="L13" s="5"/>
    </row>
    <row r="14" spans="1:25" x14ac:dyDescent="0.25">
      <c r="A14" s="22"/>
      <c r="B14" s="6"/>
      <c r="C14" s="1"/>
      <c r="D14" s="2"/>
      <c r="E14" s="1"/>
      <c r="F14" s="2"/>
      <c r="G14" s="1"/>
      <c r="H14" s="2"/>
      <c r="I14" s="1"/>
      <c r="J14" s="2"/>
      <c r="K14" s="1"/>
      <c r="L14" s="2"/>
    </row>
    <row r="15" spans="1:25" x14ac:dyDescent="0.25">
      <c r="A15" s="22"/>
      <c r="B15" s="6" t="s">
        <v>28</v>
      </c>
      <c r="C15" s="1"/>
      <c r="D15" s="3"/>
      <c r="E15" s="1"/>
      <c r="F15" s="3"/>
      <c r="G15" s="1"/>
      <c r="H15" s="3"/>
      <c r="I15" s="1"/>
      <c r="J15" s="3"/>
      <c r="K15" s="1"/>
      <c r="L15" s="3"/>
    </row>
    <row r="16" spans="1:25" x14ac:dyDescent="0.25">
      <c r="A16" s="6"/>
      <c r="B16" s="6" t="s">
        <v>8</v>
      </c>
      <c r="C16" s="1"/>
      <c r="D16" s="14">
        <f>I44</f>
        <v>0</v>
      </c>
      <c r="E16" s="1"/>
      <c r="F16" s="14">
        <f>K44</f>
        <v>0</v>
      </c>
      <c r="G16" s="1"/>
      <c r="H16" s="14">
        <f t="shared" ref="H16" si="0">M44</f>
        <v>0</v>
      </c>
      <c r="I16" s="1"/>
      <c r="J16" s="14">
        <f t="shared" ref="J16" si="1">O44</f>
        <v>0</v>
      </c>
      <c r="K16" s="1"/>
      <c r="L16" s="14"/>
    </row>
    <row r="17" spans="1:12" x14ac:dyDescent="0.25">
      <c r="A17" s="6"/>
      <c r="B17" s="6" t="s">
        <v>4</v>
      </c>
      <c r="C17" s="19"/>
      <c r="D17" s="20">
        <f t="shared" ref="D17" si="2">SUM(D3:D16)</f>
        <v>308.26</v>
      </c>
      <c r="E17" s="19"/>
      <c r="F17" s="20">
        <f t="shared" ref="F17" si="3">SUM(F3:F16)</f>
        <v>219.26000000000002</v>
      </c>
      <c r="G17" s="19"/>
      <c r="H17" s="20">
        <f t="shared" ref="H17" si="4">SUM(H3:H16)</f>
        <v>74.2</v>
      </c>
      <c r="I17" s="19"/>
      <c r="J17" s="20">
        <f t="shared" ref="J17" si="5">SUM(J3:J16)</f>
        <v>75.2</v>
      </c>
      <c r="K17" s="19"/>
      <c r="L17" s="20"/>
    </row>
    <row r="19" spans="1:12" x14ac:dyDescent="0.25">
      <c r="A19" s="49" t="s">
        <v>12</v>
      </c>
      <c r="B19" s="50"/>
      <c r="C19" s="51"/>
      <c r="E19" s="15"/>
    </row>
    <row r="20" spans="1:12" x14ac:dyDescent="0.25">
      <c r="A20" s="54" t="s">
        <v>10</v>
      </c>
      <c r="B20" s="55"/>
      <c r="C20" s="2">
        <v>6.99</v>
      </c>
      <c r="E20" s="15"/>
      <c r="H20" s="15" t="s">
        <v>26</v>
      </c>
    </row>
    <row r="21" spans="1:12" x14ac:dyDescent="0.25">
      <c r="A21" s="54" t="s">
        <v>9</v>
      </c>
      <c r="B21" s="55"/>
      <c r="C21" s="2">
        <v>16.899999999999999</v>
      </c>
      <c r="E21" s="15"/>
      <c r="G21" s="15"/>
    </row>
    <row r="22" spans="1:12" x14ac:dyDescent="0.25">
      <c r="A22" s="54" t="s">
        <v>16</v>
      </c>
      <c r="B22" s="55"/>
      <c r="C22" s="27">
        <v>150.80000000000001</v>
      </c>
      <c r="D22">
        <v>144.69999999999999</v>
      </c>
      <c r="E22" s="15"/>
      <c r="J22" s="28"/>
    </row>
    <row r="23" spans="1:12" x14ac:dyDescent="0.25">
      <c r="A23" s="54" t="s">
        <v>59</v>
      </c>
      <c r="B23" s="55"/>
      <c r="C23" s="27">
        <v>74.900000000000006</v>
      </c>
      <c r="E23" s="15"/>
      <c r="J23" s="28"/>
    </row>
    <row r="24" spans="1:12" x14ac:dyDescent="0.25">
      <c r="A24" s="35"/>
      <c r="B24" s="37"/>
      <c r="C24" s="36"/>
      <c r="J24" s="28"/>
    </row>
    <row r="25" spans="1:12" x14ac:dyDescent="0.25">
      <c r="A25" s="23"/>
      <c r="B25" s="37"/>
      <c r="C25" s="2"/>
      <c r="I25" s="21"/>
      <c r="J25" s="28"/>
    </row>
    <row r="26" spans="1:12" x14ac:dyDescent="0.25">
      <c r="A26" s="23"/>
      <c r="B26" s="24"/>
      <c r="C26" s="2"/>
      <c r="J26" s="28"/>
    </row>
    <row r="27" spans="1:12" x14ac:dyDescent="0.25">
      <c r="A27" s="23"/>
      <c r="B27" s="24"/>
      <c r="C27" s="2"/>
      <c r="J27" s="28"/>
      <c r="L27" s="15"/>
    </row>
    <row r="28" spans="1:12" x14ac:dyDescent="0.25">
      <c r="A28" s="23"/>
      <c r="B28" s="24"/>
      <c r="C28" s="14"/>
      <c r="J28" s="28"/>
    </row>
    <row r="29" spans="1:12" x14ac:dyDescent="0.25">
      <c r="A29" s="23"/>
      <c r="B29" s="24"/>
      <c r="C29" s="14"/>
      <c r="J29" s="28"/>
    </row>
    <row r="30" spans="1:12" x14ac:dyDescent="0.25">
      <c r="A30" s="23"/>
      <c r="B30" s="24"/>
      <c r="C30" s="14"/>
      <c r="F30">
        <v>614.55999999999995</v>
      </c>
      <c r="J30" s="28"/>
    </row>
    <row r="31" spans="1:12" x14ac:dyDescent="0.25">
      <c r="A31" s="23"/>
      <c r="B31" s="24"/>
      <c r="C31" s="14"/>
      <c r="J31" s="28"/>
    </row>
    <row r="32" spans="1:12" x14ac:dyDescent="0.25">
      <c r="A32" s="23"/>
      <c r="B32" s="24"/>
      <c r="C32" s="14"/>
    </row>
    <row r="33" spans="1:3" x14ac:dyDescent="0.25">
      <c r="A33" s="23"/>
      <c r="B33" s="24"/>
      <c r="C33" s="14"/>
    </row>
    <row r="34" spans="1:3" x14ac:dyDescent="0.25">
      <c r="A34" s="23"/>
      <c r="B34" s="24"/>
      <c r="C34" s="14"/>
    </row>
    <row r="35" spans="1:3" x14ac:dyDescent="0.25">
      <c r="A35" s="23"/>
      <c r="B35" s="24"/>
      <c r="C35" s="14"/>
    </row>
    <row r="36" spans="1:3" x14ac:dyDescent="0.25">
      <c r="A36" s="23"/>
      <c r="B36" s="24"/>
      <c r="C36" s="14"/>
    </row>
    <row r="37" spans="1:3" x14ac:dyDescent="0.25">
      <c r="A37" s="23"/>
      <c r="B37" s="24"/>
      <c r="C37" s="14"/>
    </row>
    <row r="38" spans="1:3" x14ac:dyDescent="0.25">
      <c r="A38" s="23"/>
      <c r="B38" s="24"/>
      <c r="C38" s="14"/>
    </row>
    <row r="39" spans="1:3" x14ac:dyDescent="0.25">
      <c r="A39" s="23"/>
      <c r="B39" s="24"/>
      <c r="C39" s="14"/>
    </row>
    <row r="40" spans="1:3" x14ac:dyDescent="0.25">
      <c r="A40" s="23"/>
      <c r="B40" s="24"/>
      <c r="C40" s="14"/>
    </row>
    <row r="41" spans="1:3" x14ac:dyDescent="0.25">
      <c r="A41" s="23"/>
      <c r="B41" s="24"/>
      <c r="C41" s="14"/>
    </row>
    <row r="42" spans="1:3" x14ac:dyDescent="0.25">
      <c r="A42" s="23"/>
      <c r="B42" s="24"/>
      <c r="C42" s="14"/>
    </row>
    <row r="43" spans="1:3" x14ac:dyDescent="0.25">
      <c r="A43" s="23"/>
      <c r="B43" s="24"/>
      <c r="C43" s="14"/>
    </row>
    <row r="44" spans="1:3" x14ac:dyDescent="0.25">
      <c r="C44" s="4">
        <f>SUM(C20:C43)</f>
        <v>249.59</v>
      </c>
    </row>
  </sheetData>
  <autoFilter ref="A2:R2" xr:uid="{00000000-0009-0000-0000-000001000000}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sortState ref="A3:R17">
      <sortCondition ref="A2"/>
    </sortState>
  </autoFilter>
  <mergeCells count="11">
    <mergeCell ref="A23:B23"/>
    <mergeCell ref="A22:B22"/>
    <mergeCell ref="A1:Y1"/>
    <mergeCell ref="A20:B20"/>
    <mergeCell ref="A21:B21"/>
    <mergeCell ref="A19:C19"/>
    <mergeCell ref="G2:H2"/>
    <mergeCell ref="C2:D2"/>
    <mergeCell ref="E2:F2"/>
    <mergeCell ref="I2:J2"/>
    <mergeCell ref="K2:L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15"/>
  <sheetViews>
    <sheetView workbookViewId="0">
      <selection activeCell="G14" sqref="G14"/>
    </sheetView>
  </sheetViews>
  <sheetFormatPr defaultRowHeight="15" x14ac:dyDescent="0.25"/>
  <cols>
    <col min="1" max="1" width="8.85546875" style="16" bestFit="1" customWidth="1"/>
    <col min="2" max="2" width="32.85546875" customWidth="1"/>
    <col min="3" max="3" width="17.28515625" style="18" bestFit="1" customWidth="1"/>
    <col min="4" max="4" width="13.5703125" customWidth="1"/>
    <col min="5" max="5" width="10.5703125" bestFit="1" customWidth="1"/>
    <col min="6" max="6" width="10.5703125" style="16" bestFit="1" customWidth="1"/>
    <col min="7" max="7" width="19.140625" bestFit="1" customWidth="1"/>
    <col min="8" max="8" width="17.28515625" bestFit="1" customWidth="1"/>
    <col min="9" max="9" width="4.85546875" bestFit="1" customWidth="1"/>
    <col min="10" max="10" width="10.5703125" bestFit="1" customWidth="1"/>
    <col min="11" max="11" width="19.140625" bestFit="1" customWidth="1"/>
  </cols>
  <sheetData>
    <row r="1" spans="1:7" x14ac:dyDescent="0.25">
      <c r="A1" s="32"/>
      <c r="B1" s="33"/>
      <c r="C1" s="34"/>
      <c r="D1" s="34"/>
    </row>
    <row r="2" spans="1:7" x14ac:dyDescent="0.25">
      <c r="A2" s="32"/>
      <c r="B2" s="33"/>
      <c r="C2" s="34"/>
      <c r="D2" s="34"/>
    </row>
    <row r="3" spans="1:7" x14ac:dyDescent="0.25">
      <c r="A3" s="32"/>
      <c r="B3" s="33"/>
      <c r="C3" s="34"/>
      <c r="D3" s="34"/>
    </row>
    <row r="4" spans="1:7" x14ac:dyDescent="0.25">
      <c r="A4" s="32"/>
      <c r="B4" s="33"/>
      <c r="C4" s="34"/>
      <c r="D4" s="34"/>
      <c r="G4" s="15"/>
    </row>
    <row r="5" spans="1:7" x14ac:dyDescent="0.25">
      <c r="A5" s="32"/>
      <c r="B5" s="33"/>
      <c r="C5" s="34"/>
      <c r="D5" s="34"/>
    </row>
    <row r="6" spans="1:7" x14ac:dyDescent="0.25">
      <c r="A6" s="32"/>
      <c r="B6" s="33"/>
      <c r="C6" s="34"/>
      <c r="D6" s="34"/>
      <c r="E6" s="15"/>
      <c r="F6" s="25"/>
    </row>
    <row r="7" spans="1:7" x14ac:dyDescent="0.25">
      <c r="A7" s="32"/>
      <c r="B7" s="33"/>
      <c r="C7" s="34"/>
      <c r="D7" s="34"/>
    </row>
    <row r="8" spans="1:7" x14ac:dyDescent="0.25">
      <c r="A8" s="32"/>
      <c r="B8" s="33"/>
      <c r="C8" s="34"/>
      <c r="D8" s="34"/>
    </row>
    <row r="9" spans="1:7" x14ac:dyDescent="0.25">
      <c r="A9" s="32"/>
      <c r="B9" s="33"/>
      <c r="C9" s="34"/>
      <c r="D9" s="34"/>
    </row>
    <row r="10" spans="1:7" x14ac:dyDescent="0.25">
      <c r="A10" s="32"/>
      <c r="B10" s="33"/>
      <c r="C10" s="34"/>
      <c r="D10" s="34"/>
    </row>
    <row r="11" spans="1:7" x14ac:dyDescent="0.25">
      <c r="A11" s="32"/>
      <c r="B11" s="33"/>
      <c r="C11" s="34"/>
      <c r="D11" s="34"/>
    </row>
    <row r="12" spans="1:7" x14ac:dyDescent="0.25">
      <c r="A12" s="32"/>
      <c r="B12" s="33"/>
      <c r="C12" s="34"/>
      <c r="D12" s="34"/>
    </row>
    <row r="13" spans="1:7" x14ac:dyDescent="0.25">
      <c r="A13" s="32"/>
      <c r="B13" s="33"/>
      <c r="C13" s="34"/>
      <c r="D13" s="34"/>
    </row>
    <row r="14" spans="1:7" x14ac:dyDescent="0.25">
      <c r="A14" s="32"/>
      <c r="B14" s="33"/>
      <c r="C14" s="34"/>
      <c r="D14" s="34"/>
    </row>
    <row r="15" spans="1:7" x14ac:dyDescent="0.25">
      <c r="A15" s="32"/>
      <c r="B15" s="33"/>
      <c r="C15" s="34"/>
      <c r="D15" s="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L27"/>
  <sheetViews>
    <sheetView topLeftCell="A2" workbookViewId="0">
      <selection activeCell="B19" sqref="B19"/>
    </sheetView>
  </sheetViews>
  <sheetFormatPr defaultRowHeight="15" x14ac:dyDescent="0.25"/>
  <cols>
    <col min="1" max="1" width="7.140625" bestFit="1" customWidth="1"/>
    <col min="2" max="5" width="12.140625" bestFit="1" customWidth="1"/>
    <col min="12" max="12" width="10" bestFit="1" customWidth="1"/>
  </cols>
  <sheetData>
    <row r="2" spans="1:12" x14ac:dyDescent="0.25">
      <c r="A2" s="30" t="s">
        <v>32</v>
      </c>
      <c r="B2" s="16" t="s">
        <v>30</v>
      </c>
      <c r="C2" s="16" t="s">
        <v>31</v>
      </c>
      <c r="D2" t="s">
        <v>33</v>
      </c>
      <c r="E2" s="16" t="s">
        <v>34</v>
      </c>
      <c r="F2" t="s">
        <v>35</v>
      </c>
      <c r="G2" s="16" t="s">
        <v>36</v>
      </c>
      <c r="H2" t="s">
        <v>37</v>
      </c>
      <c r="I2" s="16" t="s">
        <v>38</v>
      </c>
      <c r="J2" t="s">
        <v>39</v>
      </c>
      <c r="K2" s="16" t="s">
        <v>40</v>
      </c>
      <c r="L2" t="s">
        <v>41</v>
      </c>
    </row>
    <row r="3" spans="1:12" x14ac:dyDescent="0.25">
      <c r="A3">
        <v>6</v>
      </c>
      <c r="B3" s="29">
        <v>100</v>
      </c>
      <c r="C3" s="29">
        <v>101.15</v>
      </c>
      <c r="D3" s="29">
        <v>101.77</v>
      </c>
      <c r="E3" s="29">
        <v>102.39</v>
      </c>
    </row>
    <row r="4" spans="1:12" x14ac:dyDescent="0.25">
      <c r="A4">
        <v>8</v>
      </c>
      <c r="B4" s="29">
        <v>2000</v>
      </c>
      <c r="C4" s="29">
        <v>2070.54</v>
      </c>
      <c r="D4" s="29">
        <v>2083.75</v>
      </c>
      <c r="E4" s="29">
        <v>2096.86</v>
      </c>
    </row>
    <row r="5" spans="1:12" x14ac:dyDescent="0.25">
      <c r="A5">
        <v>11</v>
      </c>
      <c r="B5" s="29">
        <v>1500</v>
      </c>
      <c r="C5" s="29">
        <v>1525.82</v>
      </c>
      <c r="D5" s="29">
        <v>1535.94</v>
      </c>
      <c r="E5" s="29">
        <v>1544.3</v>
      </c>
    </row>
    <row r="6" spans="1:12" x14ac:dyDescent="0.25">
      <c r="A6" s="28"/>
    </row>
    <row r="7" spans="1:12" x14ac:dyDescent="0.25">
      <c r="A7" s="28"/>
      <c r="B7" s="15">
        <f>SUM(B3:B5)</f>
        <v>3600</v>
      </c>
      <c r="C7" s="15">
        <f>SUM(C3:C5)</f>
        <v>3697.51</v>
      </c>
      <c r="D7" s="15">
        <f>SUM(D3:D5)</f>
        <v>3721.46</v>
      </c>
      <c r="E7" s="15">
        <f>SUM(E3:E5)</f>
        <v>3743.55</v>
      </c>
    </row>
    <row r="8" spans="1:12" x14ac:dyDescent="0.25">
      <c r="A8" s="28"/>
      <c r="B8" s="16" t="s">
        <v>62</v>
      </c>
      <c r="C8" s="15">
        <f>C7-B7</f>
        <v>97.510000000000218</v>
      </c>
      <c r="D8" s="15">
        <f>D7-C7</f>
        <v>23.949999999999818</v>
      </c>
      <c r="E8" s="15">
        <f>E7-D7</f>
        <v>22.090000000000146</v>
      </c>
    </row>
    <row r="9" spans="1:12" x14ac:dyDescent="0.25">
      <c r="A9" s="30" t="s">
        <v>61</v>
      </c>
      <c r="B9" s="15">
        <f>SUM(C8:L8)</f>
        <v>143.55000000000018</v>
      </c>
    </row>
    <row r="10" spans="1:12" x14ac:dyDescent="0.25">
      <c r="A10" s="28"/>
      <c r="D10" s="15"/>
      <c r="E10" s="15"/>
    </row>
    <row r="11" spans="1:12" x14ac:dyDescent="0.25">
      <c r="A11" s="28"/>
      <c r="D11" s="15"/>
      <c r="E11" s="15"/>
    </row>
    <row r="12" spans="1:12" x14ac:dyDescent="0.25">
      <c r="A12" s="28"/>
      <c r="D12" s="15"/>
      <c r="E12" s="15"/>
    </row>
    <row r="13" spans="1:12" x14ac:dyDescent="0.25">
      <c r="A13" s="28"/>
    </row>
    <row r="14" spans="1:12" x14ac:dyDescent="0.25">
      <c r="A14" s="28"/>
    </row>
    <row r="15" spans="1:12" x14ac:dyDescent="0.25">
      <c r="A15" s="28"/>
    </row>
    <row r="16" spans="1:12" x14ac:dyDescent="0.25">
      <c r="A16" s="28"/>
    </row>
    <row r="17" spans="1:6" x14ac:dyDescent="0.25">
      <c r="A17" s="28"/>
    </row>
    <row r="18" spans="1:6" x14ac:dyDescent="0.25">
      <c r="A18" s="28">
        <v>1307.1199999999999</v>
      </c>
      <c r="B18">
        <v>1307.1199999999999</v>
      </c>
    </row>
    <row r="19" spans="1:6" x14ac:dyDescent="0.25">
      <c r="A19" s="28"/>
    </row>
    <row r="20" spans="1:6" x14ac:dyDescent="0.25">
      <c r="A20" s="28"/>
      <c r="B20">
        <v>109.33</v>
      </c>
    </row>
    <row r="21" spans="1:6" x14ac:dyDescent="0.25">
      <c r="A21" s="28"/>
      <c r="B21">
        <v>435.7</v>
      </c>
    </row>
    <row r="22" spans="1:6" x14ac:dyDescent="0.25">
      <c r="A22" s="28"/>
      <c r="B22">
        <v>108.93</v>
      </c>
    </row>
    <row r="23" spans="1:6" x14ac:dyDescent="0.25">
      <c r="A23" s="28"/>
      <c r="B23">
        <v>36.450000000000003</v>
      </c>
    </row>
    <row r="24" spans="1:6" x14ac:dyDescent="0.25">
      <c r="A24" s="28"/>
      <c r="B24">
        <v>27.33</v>
      </c>
      <c r="F24">
        <f>0.0744/12</f>
        <v>6.1999999999999998E-3</v>
      </c>
    </row>
    <row r="25" spans="1:6" x14ac:dyDescent="0.25">
      <c r="A25" s="28"/>
      <c r="B25">
        <v>9.11</v>
      </c>
    </row>
    <row r="27" spans="1:6" x14ac:dyDescent="0.25">
      <c r="B27">
        <f>SUM(B18:B26)</f>
        <v>2033.9699999999998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8"/>
  <sheetViews>
    <sheetView workbookViewId="0">
      <selection activeCell="N10" sqref="N10"/>
    </sheetView>
  </sheetViews>
  <sheetFormatPr defaultRowHeight="15" x14ac:dyDescent="0.25"/>
  <cols>
    <col min="1" max="1" width="10.28515625" bestFit="1" customWidth="1"/>
    <col min="2" max="2" width="5.140625" bestFit="1" customWidth="1"/>
    <col min="3" max="3" width="10.5703125" bestFit="1" customWidth="1"/>
    <col min="4" max="4" width="13.28515625" bestFit="1" customWidth="1"/>
    <col min="5" max="14" width="10.5703125" bestFit="1" customWidth="1"/>
    <col min="15" max="15" width="14.85546875" bestFit="1" customWidth="1"/>
    <col min="16" max="16" width="13.28515625" bestFit="1" customWidth="1"/>
    <col min="17" max="17" width="13.28515625" customWidth="1"/>
    <col min="18" max="18" width="21.140625" bestFit="1" customWidth="1"/>
  </cols>
  <sheetData>
    <row r="1" spans="1:18" x14ac:dyDescent="0.25">
      <c r="A1" s="57" t="s">
        <v>56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</row>
    <row r="2" spans="1:18" x14ac:dyDescent="0.25">
      <c r="A2" s="31" t="s">
        <v>51</v>
      </c>
      <c r="B2" s="31" t="s">
        <v>48</v>
      </c>
      <c r="C2" s="17" t="s">
        <v>45</v>
      </c>
      <c r="D2" s="17" t="s">
        <v>46</v>
      </c>
      <c r="E2" s="17" t="s">
        <v>47</v>
      </c>
      <c r="F2" s="17" t="s">
        <v>44</v>
      </c>
      <c r="G2" s="17" t="s">
        <v>13</v>
      </c>
      <c r="H2" s="17" t="s">
        <v>14</v>
      </c>
      <c r="I2" s="17" t="s">
        <v>15</v>
      </c>
      <c r="J2" s="17" t="s">
        <v>19</v>
      </c>
      <c r="K2" s="17" t="s">
        <v>21</v>
      </c>
      <c r="L2" s="17" t="s">
        <v>22</v>
      </c>
      <c r="M2" s="17" t="s">
        <v>23</v>
      </c>
      <c r="N2" s="17" t="s">
        <v>24</v>
      </c>
      <c r="O2" s="17" t="s">
        <v>50</v>
      </c>
      <c r="P2" s="17" t="s">
        <v>52</v>
      </c>
      <c r="Q2" s="40" t="s">
        <v>49</v>
      </c>
      <c r="R2" s="17" t="s">
        <v>65</v>
      </c>
    </row>
    <row r="3" spans="1:18" x14ac:dyDescent="0.25">
      <c r="A3" s="31" t="s">
        <v>53</v>
      </c>
      <c r="B3" s="17">
        <v>2015</v>
      </c>
      <c r="C3" s="16" t="s">
        <v>55</v>
      </c>
      <c r="D3" s="16" t="s">
        <v>55</v>
      </c>
      <c r="E3" s="16" t="s">
        <v>55</v>
      </c>
      <c r="F3" s="16" t="s">
        <v>55</v>
      </c>
      <c r="G3" s="16" t="s">
        <v>55</v>
      </c>
      <c r="H3" s="16" t="s">
        <v>55</v>
      </c>
      <c r="I3" s="16" t="s">
        <v>55</v>
      </c>
      <c r="J3" s="16" t="s">
        <v>55</v>
      </c>
      <c r="K3" s="16" t="s">
        <v>55</v>
      </c>
      <c r="L3" s="29">
        <v>300</v>
      </c>
      <c r="M3" s="29">
        <v>300</v>
      </c>
      <c r="N3" s="29">
        <v>300</v>
      </c>
      <c r="O3" s="29">
        <f>SUM(C3:N3)</f>
        <v>900</v>
      </c>
      <c r="P3" s="15">
        <f t="shared" ref="P3:P13" si="0">O3*0.07+(O3)</f>
        <v>963</v>
      </c>
      <c r="Q3" s="56">
        <f>SUM(O3:O4)</f>
        <v>900</v>
      </c>
      <c r="R3" s="56">
        <f>SUM(P3:P4)</f>
        <v>963</v>
      </c>
    </row>
    <row r="4" spans="1:18" x14ac:dyDescent="0.25">
      <c r="A4" s="31" t="s">
        <v>54</v>
      </c>
      <c r="B4" s="17">
        <v>2015</v>
      </c>
      <c r="C4" s="16" t="s">
        <v>55</v>
      </c>
      <c r="D4" s="16" t="s">
        <v>55</v>
      </c>
      <c r="E4" s="16" t="s">
        <v>55</v>
      </c>
      <c r="F4" s="16" t="s">
        <v>55</v>
      </c>
      <c r="G4" s="16" t="s">
        <v>55</v>
      </c>
      <c r="H4" s="16" t="s">
        <v>55</v>
      </c>
      <c r="I4" s="16" t="s">
        <v>55</v>
      </c>
      <c r="J4" s="16" t="s">
        <v>55</v>
      </c>
      <c r="K4" s="16" t="s">
        <v>55</v>
      </c>
      <c r="L4" s="16" t="s">
        <v>55</v>
      </c>
      <c r="M4" s="16" t="s">
        <v>55</v>
      </c>
      <c r="N4" s="16" t="s">
        <v>55</v>
      </c>
      <c r="O4" s="29">
        <f t="shared" ref="O4:O13" si="1">SUM(C4:N4)</f>
        <v>0</v>
      </c>
      <c r="P4" s="15">
        <f t="shared" si="0"/>
        <v>0</v>
      </c>
      <c r="Q4" s="56"/>
      <c r="R4" s="56"/>
    </row>
    <row r="5" spans="1:18" x14ac:dyDescent="0.25">
      <c r="A5" s="31" t="s">
        <v>53</v>
      </c>
      <c r="B5" s="17">
        <v>2016</v>
      </c>
      <c r="C5" s="29">
        <v>300</v>
      </c>
      <c r="D5" s="29">
        <v>300</v>
      </c>
      <c r="E5" s="29">
        <v>300</v>
      </c>
      <c r="F5" s="29">
        <v>300</v>
      </c>
      <c r="G5" s="29">
        <v>300</v>
      </c>
      <c r="H5" s="29">
        <v>300</v>
      </c>
      <c r="I5" s="29">
        <v>300</v>
      </c>
      <c r="J5" s="29">
        <v>300</v>
      </c>
      <c r="K5" s="29">
        <v>300</v>
      </c>
      <c r="L5" s="29">
        <v>300</v>
      </c>
      <c r="M5" s="29">
        <v>300</v>
      </c>
      <c r="N5" s="29">
        <v>300</v>
      </c>
      <c r="O5" s="29">
        <f t="shared" si="1"/>
        <v>3600</v>
      </c>
      <c r="P5" s="15">
        <f t="shared" si="0"/>
        <v>3852</v>
      </c>
      <c r="Q5" s="56">
        <f>SUM(O5:O6)+Q3</f>
        <v>6900</v>
      </c>
      <c r="R5" s="56">
        <f>SUM(P5:P6)+R3</f>
        <v>7383</v>
      </c>
    </row>
    <row r="6" spans="1:18" x14ac:dyDescent="0.25">
      <c r="A6" s="31" t="s">
        <v>54</v>
      </c>
      <c r="B6" s="17">
        <v>2016</v>
      </c>
      <c r="C6" s="29">
        <v>200</v>
      </c>
      <c r="D6" s="29">
        <v>200</v>
      </c>
      <c r="E6" s="29">
        <v>200</v>
      </c>
      <c r="F6" s="29">
        <v>200</v>
      </c>
      <c r="G6" s="29">
        <v>200</v>
      </c>
      <c r="H6" s="29">
        <v>200</v>
      </c>
      <c r="I6" s="29">
        <v>200</v>
      </c>
      <c r="J6" s="29">
        <v>200</v>
      </c>
      <c r="K6" s="29">
        <v>200</v>
      </c>
      <c r="L6" s="29">
        <v>200</v>
      </c>
      <c r="M6" s="29">
        <v>200</v>
      </c>
      <c r="N6" s="29">
        <v>200</v>
      </c>
      <c r="O6" s="29">
        <f t="shared" si="1"/>
        <v>2400</v>
      </c>
      <c r="P6" s="15">
        <f t="shared" si="0"/>
        <v>2568</v>
      </c>
      <c r="Q6" s="56"/>
      <c r="R6" s="56"/>
    </row>
    <row r="7" spans="1:18" x14ac:dyDescent="0.25">
      <c r="A7" s="31" t="s">
        <v>53</v>
      </c>
      <c r="B7" s="17">
        <v>2017</v>
      </c>
      <c r="C7" s="29">
        <v>300</v>
      </c>
      <c r="D7" s="29">
        <v>300</v>
      </c>
      <c r="E7" s="29">
        <v>300</v>
      </c>
      <c r="F7" s="29">
        <v>300</v>
      </c>
      <c r="G7" s="29">
        <v>300</v>
      </c>
      <c r="H7" s="29">
        <v>300</v>
      </c>
      <c r="I7" s="29">
        <v>300</v>
      </c>
      <c r="J7" s="29">
        <v>300</v>
      </c>
      <c r="K7" s="41">
        <v>300</v>
      </c>
      <c r="L7" s="29">
        <v>300</v>
      </c>
      <c r="M7" s="29">
        <v>300</v>
      </c>
      <c r="N7" s="29">
        <v>300</v>
      </c>
      <c r="O7" s="29">
        <f t="shared" si="1"/>
        <v>3600</v>
      </c>
      <c r="P7" s="15">
        <f t="shared" si="0"/>
        <v>3852</v>
      </c>
      <c r="Q7" s="56">
        <f t="shared" ref="Q7:R7" si="2">SUM(O7:O8)+Q5</f>
        <v>12900</v>
      </c>
      <c r="R7" s="56">
        <f t="shared" si="2"/>
        <v>13803</v>
      </c>
    </row>
    <row r="8" spans="1:18" x14ac:dyDescent="0.25">
      <c r="A8" s="31" t="s">
        <v>54</v>
      </c>
      <c r="B8" s="17">
        <v>2017</v>
      </c>
      <c r="C8" s="29">
        <v>200</v>
      </c>
      <c r="D8" s="29">
        <v>200</v>
      </c>
      <c r="E8" s="29">
        <v>200</v>
      </c>
      <c r="F8" s="29">
        <v>200</v>
      </c>
      <c r="G8" s="29">
        <v>200</v>
      </c>
      <c r="H8" s="29">
        <v>200</v>
      </c>
      <c r="I8" s="29">
        <v>200</v>
      </c>
      <c r="J8" s="29">
        <v>200</v>
      </c>
      <c r="K8" s="29">
        <v>200</v>
      </c>
      <c r="L8" s="29">
        <v>200</v>
      </c>
      <c r="M8" s="29">
        <v>200</v>
      </c>
      <c r="N8" s="29">
        <v>200</v>
      </c>
      <c r="O8" s="29">
        <f t="shared" si="1"/>
        <v>2400</v>
      </c>
      <c r="P8" s="15">
        <f t="shared" si="0"/>
        <v>2568</v>
      </c>
      <c r="Q8" s="56"/>
      <c r="R8" s="56"/>
    </row>
    <row r="9" spans="1:18" x14ac:dyDescent="0.25">
      <c r="A9" s="31" t="s">
        <v>53</v>
      </c>
      <c r="B9" s="17">
        <v>2018</v>
      </c>
      <c r="C9" s="29">
        <v>300</v>
      </c>
      <c r="D9" s="29">
        <v>300</v>
      </c>
      <c r="E9" s="29">
        <v>300</v>
      </c>
      <c r="F9" s="29">
        <v>300</v>
      </c>
      <c r="G9" s="29">
        <v>300</v>
      </c>
      <c r="H9" s="29">
        <v>300</v>
      </c>
      <c r="I9" s="29">
        <v>300</v>
      </c>
      <c r="J9" s="29">
        <v>300</v>
      </c>
      <c r="K9" s="29">
        <v>300</v>
      </c>
      <c r="L9" s="29">
        <v>300</v>
      </c>
      <c r="M9" s="29">
        <v>300</v>
      </c>
      <c r="N9" s="29">
        <v>300</v>
      </c>
      <c r="O9" s="29">
        <f t="shared" si="1"/>
        <v>3600</v>
      </c>
      <c r="P9" s="15">
        <f t="shared" si="0"/>
        <v>3852</v>
      </c>
      <c r="Q9" s="56">
        <f t="shared" ref="Q9:R9" si="3">SUM(O9:O10)+Q7</f>
        <v>18900</v>
      </c>
      <c r="R9" s="56">
        <f t="shared" si="3"/>
        <v>20223</v>
      </c>
    </row>
    <row r="10" spans="1:18" x14ac:dyDescent="0.25">
      <c r="A10" s="31" t="s">
        <v>54</v>
      </c>
      <c r="B10" s="17">
        <v>2018</v>
      </c>
      <c r="C10" s="29">
        <v>200</v>
      </c>
      <c r="D10" s="29">
        <v>200</v>
      </c>
      <c r="E10" s="29">
        <v>200</v>
      </c>
      <c r="F10" s="29">
        <v>200</v>
      </c>
      <c r="G10" s="29">
        <v>200</v>
      </c>
      <c r="H10" s="29">
        <v>200</v>
      </c>
      <c r="I10" s="29">
        <v>200</v>
      </c>
      <c r="J10" s="29">
        <v>200</v>
      </c>
      <c r="K10" s="29">
        <v>200</v>
      </c>
      <c r="L10" s="29">
        <v>200</v>
      </c>
      <c r="M10" s="29">
        <v>200</v>
      </c>
      <c r="N10" s="29">
        <v>200</v>
      </c>
      <c r="O10" s="29">
        <f t="shared" si="1"/>
        <v>2400</v>
      </c>
      <c r="P10" s="15">
        <f t="shared" si="0"/>
        <v>2568</v>
      </c>
      <c r="Q10" s="56"/>
      <c r="R10" s="56"/>
    </row>
    <row r="11" spans="1:18" x14ac:dyDescent="0.25">
      <c r="A11" s="31" t="s">
        <v>53</v>
      </c>
      <c r="B11" s="17">
        <v>2019</v>
      </c>
      <c r="C11" s="29">
        <v>300</v>
      </c>
      <c r="D11" s="29">
        <v>300</v>
      </c>
      <c r="E11" s="29">
        <v>300</v>
      </c>
      <c r="F11" s="29">
        <v>300</v>
      </c>
      <c r="G11" s="29">
        <v>300</v>
      </c>
      <c r="H11" s="29">
        <v>300</v>
      </c>
      <c r="I11" s="29">
        <v>300</v>
      </c>
      <c r="J11" s="29">
        <v>300</v>
      </c>
      <c r="K11" s="29">
        <v>300</v>
      </c>
      <c r="L11" s="29">
        <v>300</v>
      </c>
      <c r="M11" s="29">
        <v>300</v>
      </c>
      <c r="N11" s="29">
        <v>300</v>
      </c>
      <c r="O11" s="29">
        <f t="shared" si="1"/>
        <v>3600</v>
      </c>
      <c r="P11" s="15">
        <f t="shared" si="0"/>
        <v>3852</v>
      </c>
      <c r="Q11" s="56">
        <f t="shared" ref="Q11:R11" si="4">SUM(O11:O12)+Q9</f>
        <v>24900</v>
      </c>
      <c r="R11" s="56">
        <f t="shared" si="4"/>
        <v>26643</v>
      </c>
    </row>
    <row r="12" spans="1:18" x14ac:dyDescent="0.25">
      <c r="A12" s="31" t="s">
        <v>54</v>
      </c>
      <c r="B12" s="17">
        <v>2019</v>
      </c>
      <c r="C12" s="29">
        <v>200</v>
      </c>
      <c r="D12" s="29">
        <v>200</v>
      </c>
      <c r="E12" s="29">
        <v>200</v>
      </c>
      <c r="F12" s="29">
        <v>200</v>
      </c>
      <c r="G12" s="29">
        <v>200</v>
      </c>
      <c r="H12" s="29">
        <v>200</v>
      </c>
      <c r="I12" s="29">
        <v>200</v>
      </c>
      <c r="J12" s="29">
        <v>200</v>
      </c>
      <c r="K12" s="29">
        <v>200</v>
      </c>
      <c r="L12" s="29">
        <v>200</v>
      </c>
      <c r="M12" s="29">
        <v>200</v>
      </c>
      <c r="N12" s="29">
        <v>200</v>
      </c>
      <c r="O12" s="29">
        <f t="shared" si="1"/>
        <v>2400</v>
      </c>
      <c r="P12" s="15">
        <f t="shared" si="0"/>
        <v>2568</v>
      </c>
      <c r="Q12" s="56"/>
      <c r="R12" s="56"/>
    </row>
    <row r="13" spans="1:18" x14ac:dyDescent="0.25">
      <c r="A13" s="31" t="s">
        <v>53</v>
      </c>
      <c r="B13" s="17">
        <v>2020</v>
      </c>
      <c r="C13" s="29">
        <v>300</v>
      </c>
      <c r="D13" s="29">
        <v>300</v>
      </c>
      <c r="E13" s="29">
        <v>300</v>
      </c>
      <c r="F13" s="29">
        <v>300</v>
      </c>
      <c r="G13" s="29">
        <v>300</v>
      </c>
      <c r="H13" s="29">
        <v>300</v>
      </c>
      <c r="I13" s="29">
        <v>300</v>
      </c>
      <c r="J13" s="29">
        <v>300</v>
      </c>
      <c r="K13" s="29">
        <v>300</v>
      </c>
      <c r="L13" s="29">
        <v>300</v>
      </c>
      <c r="M13" s="29">
        <v>300</v>
      </c>
      <c r="N13" s="29">
        <v>300</v>
      </c>
      <c r="O13" s="29">
        <f t="shared" si="1"/>
        <v>3600</v>
      </c>
      <c r="P13" s="15">
        <f t="shared" si="0"/>
        <v>3852</v>
      </c>
      <c r="Q13" s="56">
        <f t="shared" ref="Q13:R13" si="5">SUM(O13:O14)+Q11</f>
        <v>30900</v>
      </c>
      <c r="R13" s="56">
        <f t="shared" si="5"/>
        <v>33063</v>
      </c>
    </row>
    <row r="14" spans="1:18" x14ac:dyDescent="0.25">
      <c r="A14" s="31" t="s">
        <v>54</v>
      </c>
      <c r="B14" s="17">
        <v>2020</v>
      </c>
      <c r="C14" s="29">
        <v>200</v>
      </c>
      <c r="D14" s="29">
        <v>200</v>
      </c>
      <c r="E14" s="29">
        <v>200</v>
      </c>
      <c r="F14" s="29">
        <v>200</v>
      </c>
      <c r="G14" s="29">
        <v>200</v>
      </c>
      <c r="H14" s="29">
        <v>200</v>
      </c>
      <c r="I14" s="29">
        <v>200</v>
      </c>
      <c r="J14" s="29">
        <v>200</v>
      </c>
      <c r="K14" s="29">
        <v>200</v>
      </c>
      <c r="L14" s="29">
        <v>200</v>
      </c>
      <c r="M14" s="29">
        <v>200</v>
      </c>
      <c r="N14" s="29">
        <v>200</v>
      </c>
      <c r="O14" s="29">
        <f>SUM(C14:N14)</f>
        <v>2400</v>
      </c>
      <c r="P14" s="15">
        <f>O14*0.07+(O14)</f>
        <v>2568</v>
      </c>
      <c r="Q14" s="56"/>
      <c r="R14" s="56"/>
    </row>
    <row r="16" spans="1:18" x14ac:dyDescent="0.25">
      <c r="A16" s="31" t="s">
        <v>66</v>
      </c>
    </row>
    <row r="17" spans="1:4" x14ac:dyDescent="0.25">
      <c r="A17" s="31" t="s">
        <v>53</v>
      </c>
      <c r="D17" s="29">
        <f ca="1">SUMIF(A3:A15,A17,O3:O14)</f>
        <v>18900</v>
      </c>
    </row>
    <row r="18" spans="1:4" x14ac:dyDescent="0.25">
      <c r="A18" s="31" t="s">
        <v>54</v>
      </c>
      <c r="D18" s="29">
        <f ca="1">SUMIF(A4:A16,A18,O4:O15)</f>
        <v>12000</v>
      </c>
    </row>
  </sheetData>
  <mergeCells count="13">
    <mergeCell ref="R13:R14"/>
    <mergeCell ref="A1:R1"/>
    <mergeCell ref="R3:R4"/>
    <mergeCell ref="R5:R6"/>
    <mergeCell ref="R7:R8"/>
    <mergeCell ref="R9:R10"/>
    <mergeCell ref="R11:R12"/>
    <mergeCell ref="Q3:Q4"/>
    <mergeCell ref="Q5:Q6"/>
    <mergeCell ref="Q7:Q8"/>
    <mergeCell ref="Q9:Q10"/>
    <mergeCell ref="Q11:Q12"/>
    <mergeCell ref="Q13:Q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35"/>
  <sheetViews>
    <sheetView workbookViewId="0">
      <selection activeCell="B12" sqref="B12"/>
    </sheetView>
  </sheetViews>
  <sheetFormatPr defaultRowHeight="15" x14ac:dyDescent="0.25"/>
  <cols>
    <col min="1" max="1" width="31.42578125" bestFit="1" customWidth="1"/>
    <col min="2" max="2" width="71.42578125" bestFit="1" customWidth="1"/>
    <col min="3" max="3" width="11.5703125" bestFit="1" customWidth="1"/>
  </cols>
  <sheetData>
    <row r="1" spans="1:5" x14ac:dyDescent="0.25">
      <c r="A1" s="28" t="s">
        <v>67</v>
      </c>
      <c r="B1" t="s">
        <v>68</v>
      </c>
      <c r="C1" t="s">
        <v>69</v>
      </c>
      <c r="E1" s="39"/>
    </row>
    <row r="2" spans="1:5" x14ac:dyDescent="0.25">
      <c r="A2" s="28" t="s">
        <v>70</v>
      </c>
      <c r="B2" t="s">
        <v>71</v>
      </c>
      <c r="C2" s="38" t="s">
        <v>72</v>
      </c>
      <c r="E2">
        <f>SUMIF(A2:A5,A2:A5&gt;160000,B2:B5)</f>
        <v>0</v>
      </c>
    </row>
    <row r="3" spans="1:5" x14ac:dyDescent="0.25">
      <c r="A3" s="28" t="s">
        <v>73</v>
      </c>
      <c r="B3" t="s">
        <v>74</v>
      </c>
      <c r="C3" s="38"/>
    </row>
    <row r="4" spans="1:5" x14ac:dyDescent="0.25">
      <c r="A4" s="28" t="s">
        <v>75</v>
      </c>
      <c r="B4" t="s">
        <v>76</v>
      </c>
    </row>
    <row r="5" spans="1:5" x14ac:dyDescent="0.25">
      <c r="A5" s="28" t="s">
        <v>77</v>
      </c>
      <c r="B5" t="s">
        <v>78</v>
      </c>
    </row>
    <row r="6" spans="1:5" x14ac:dyDescent="0.25">
      <c r="A6" s="28"/>
    </row>
    <row r="8" spans="1:5" x14ac:dyDescent="0.25">
      <c r="A8" t="s">
        <v>79</v>
      </c>
      <c r="B8" t="s">
        <v>80</v>
      </c>
      <c r="C8" t="s">
        <v>81</v>
      </c>
    </row>
    <row r="9" spans="1:5" x14ac:dyDescent="0.25">
      <c r="A9" s="28" t="s">
        <v>82</v>
      </c>
      <c r="B9" t="s">
        <v>83</v>
      </c>
      <c r="C9" t="s">
        <v>84</v>
      </c>
    </row>
    <row r="10" spans="1:5" x14ac:dyDescent="0.25">
      <c r="A10" s="28" t="s">
        <v>85</v>
      </c>
      <c r="B10" t="s">
        <v>86</v>
      </c>
      <c r="C10" t="s">
        <v>76</v>
      </c>
    </row>
    <row r="11" spans="1:5" x14ac:dyDescent="0.25">
      <c r="A11" s="28" t="s">
        <v>87</v>
      </c>
      <c r="B11" t="s">
        <v>88</v>
      </c>
      <c r="C11" t="s">
        <v>89</v>
      </c>
    </row>
    <row r="12" spans="1:5" x14ac:dyDescent="0.25">
      <c r="A12" s="28"/>
    </row>
    <row r="13" spans="1:5" x14ac:dyDescent="0.25">
      <c r="A13" s="28"/>
    </row>
    <row r="14" spans="1:5" x14ac:dyDescent="0.25">
      <c r="A14" s="28"/>
    </row>
    <row r="15" spans="1:5" x14ac:dyDescent="0.25">
      <c r="A15" s="28"/>
    </row>
    <row r="16" spans="1:5" x14ac:dyDescent="0.25">
      <c r="A16" s="28"/>
    </row>
    <row r="17" spans="1:1" x14ac:dyDescent="0.25">
      <c r="A17" s="28"/>
    </row>
    <row r="18" spans="1:1" x14ac:dyDescent="0.25">
      <c r="A18" s="28"/>
    </row>
    <row r="19" spans="1:1" x14ac:dyDescent="0.25">
      <c r="A19" s="28"/>
    </row>
    <row r="20" spans="1:1" x14ac:dyDescent="0.25">
      <c r="A20" s="28"/>
    </row>
    <row r="21" spans="1:1" x14ac:dyDescent="0.25">
      <c r="A21" s="28"/>
    </row>
    <row r="22" spans="1:1" x14ac:dyDescent="0.25">
      <c r="A22" s="28"/>
    </row>
    <row r="23" spans="1:1" x14ac:dyDescent="0.25">
      <c r="A23" s="28"/>
    </row>
    <row r="30" spans="1:1" x14ac:dyDescent="0.25">
      <c r="A30" s="28"/>
    </row>
    <row r="31" spans="1:1" x14ac:dyDescent="0.25">
      <c r="A31" s="28"/>
    </row>
    <row r="32" spans="1:1" x14ac:dyDescent="0.25">
      <c r="A32" s="28"/>
    </row>
    <row r="33" spans="1:1" x14ac:dyDescent="0.25">
      <c r="A33" s="28"/>
    </row>
    <row r="34" spans="1:1" x14ac:dyDescent="0.25">
      <c r="A34" s="28"/>
    </row>
    <row r="35" spans="1:1" x14ac:dyDescent="0.25">
      <c r="A35" s="2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X40"/>
  <sheetViews>
    <sheetView topLeftCell="T1" zoomScale="80" zoomScaleNormal="80" workbookViewId="0">
      <selection activeCell="W1" sqref="W1:X31"/>
    </sheetView>
  </sheetViews>
  <sheetFormatPr defaultColWidth="34.85546875" defaultRowHeight="15" x14ac:dyDescent="0.25"/>
  <cols>
    <col min="1" max="1" width="24.28515625" bestFit="1" customWidth="1"/>
    <col min="2" max="2" width="11.42578125" bestFit="1" customWidth="1"/>
    <col min="3" max="3" width="24.28515625" bestFit="1" customWidth="1"/>
    <col min="4" max="4" width="11.42578125" bestFit="1" customWidth="1"/>
    <col min="5" max="5" width="24.28515625" bestFit="1" customWidth="1"/>
    <col min="6" max="6" width="11.42578125" bestFit="1" customWidth="1"/>
    <col min="7" max="7" width="24.28515625" bestFit="1" customWidth="1"/>
    <col min="8" max="8" width="12.140625" bestFit="1" customWidth="1"/>
    <col min="9" max="9" width="24.28515625" bestFit="1" customWidth="1"/>
    <col min="10" max="10" width="11.42578125" bestFit="1" customWidth="1"/>
    <col min="11" max="11" width="24.28515625" bestFit="1" customWidth="1"/>
    <col min="12" max="12" width="12.140625" bestFit="1" customWidth="1"/>
    <col min="13" max="13" width="24.28515625" bestFit="1" customWidth="1"/>
    <col min="14" max="14" width="11.140625" customWidth="1"/>
    <col min="15" max="15" width="24.28515625" bestFit="1" customWidth="1"/>
    <col min="16" max="16" width="11.42578125" bestFit="1" customWidth="1"/>
    <col min="18" max="18" width="11.42578125" bestFit="1" customWidth="1"/>
    <col min="22" max="22" width="23.5703125" customWidth="1"/>
  </cols>
  <sheetData>
    <row r="1" spans="1:24" x14ac:dyDescent="0.25">
      <c r="A1" s="58">
        <v>42736</v>
      </c>
      <c r="B1" s="58"/>
      <c r="C1" s="58">
        <v>42767</v>
      </c>
      <c r="D1" s="58"/>
      <c r="E1" s="58">
        <v>42795</v>
      </c>
      <c r="F1" s="58"/>
      <c r="G1" s="58">
        <v>42826</v>
      </c>
      <c r="H1" s="58"/>
      <c r="I1" s="58">
        <v>42856</v>
      </c>
      <c r="J1" s="58"/>
      <c r="K1" s="58">
        <v>42887</v>
      </c>
      <c r="L1" s="58"/>
      <c r="M1" s="58">
        <v>42917</v>
      </c>
      <c r="N1" s="58"/>
      <c r="O1" s="58">
        <v>42948</v>
      </c>
      <c r="P1" s="58"/>
      <c r="Q1" s="58">
        <v>42979</v>
      </c>
      <c r="R1" s="58"/>
      <c r="S1" s="58">
        <v>43009</v>
      </c>
      <c r="T1" s="58"/>
      <c r="U1" s="58">
        <v>43040</v>
      </c>
      <c r="V1" s="58"/>
      <c r="W1" s="58">
        <v>43070</v>
      </c>
      <c r="X1" s="58"/>
    </row>
    <row r="2" spans="1:24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  <c r="Q2" s="13" t="s">
        <v>0</v>
      </c>
      <c r="R2" s="13" t="s">
        <v>1</v>
      </c>
      <c r="S2" s="13" t="s">
        <v>0</v>
      </c>
      <c r="T2" s="13" t="s">
        <v>1</v>
      </c>
      <c r="U2" s="13" t="s">
        <v>0</v>
      </c>
      <c r="V2" s="13" t="s">
        <v>1</v>
      </c>
      <c r="W2" s="13" t="s">
        <v>0</v>
      </c>
      <c r="X2" s="13" t="s">
        <v>1</v>
      </c>
    </row>
    <row r="3" spans="1:24" x14ac:dyDescent="0.25">
      <c r="A3" s="10" t="s">
        <v>143</v>
      </c>
      <c r="B3" s="6">
        <v>863.92</v>
      </c>
      <c r="C3" s="10" t="s">
        <v>27</v>
      </c>
      <c r="D3" s="9"/>
      <c r="E3" s="10" t="s">
        <v>27</v>
      </c>
      <c r="F3" s="6">
        <v>68.099999999999994</v>
      </c>
      <c r="G3" s="10" t="s">
        <v>219</v>
      </c>
      <c r="H3" s="6">
        <v>186.2</v>
      </c>
      <c r="I3" s="10" t="s">
        <v>220</v>
      </c>
      <c r="J3" s="6">
        <v>564.22</v>
      </c>
      <c r="K3" s="10" t="s">
        <v>134</v>
      </c>
      <c r="L3" s="9"/>
      <c r="M3" s="10" t="s">
        <v>134</v>
      </c>
      <c r="N3" s="9"/>
      <c r="O3" s="10" t="s">
        <v>134</v>
      </c>
      <c r="P3" s="9"/>
      <c r="Q3" s="10" t="s">
        <v>134</v>
      </c>
      <c r="R3" s="9"/>
      <c r="S3" s="10" t="s">
        <v>134</v>
      </c>
      <c r="T3" s="9"/>
      <c r="U3" s="10" t="s">
        <v>232</v>
      </c>
      <c r="V3" s="6">
        <v>104.13</v>
      </c>
      <c r="W3" s="10" t="s">
        <v>235</v>
      </c>
      <c r="X3" s="6">
        <v>101.87</v>
      </c>
    </row>
    <row r="4" spans="1:24" x14ac:dyDescent="0.25">
      <c r="A4" s="10" t="s">
        <v>108</v>
      </c>
      <c r="B4" s="6">
        <v>93.84</v>
      </c>
      <c r="C4" s="10"/>
      <c r="D4" s="9"/>
      <c r="E4" s="10"/>
      <c r="F4" s="9"/>
      <c r="G4" s="10" t="s">
        <v>163</v>
      </c>
      <c r="H4" s="6">
        <v>96.07</v>
      </c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 t="s">
        <v>162</v>
      </c>
      <c r="V4" s="6">
        <v>644.34</v>
      </c>
      <c r="W4" s="10" t="s">
        <v>98</v>
      </c>
      <c r="X4" s="9">
        <v>98.4</v>
      </c>
    </row>
    <row r="5" spans="1:24" x14ac:dyDescent="0.25">
      <c r="A5" s="10" t="s">
        <v>63</v>
      </c>
      <c r="B5" s="6">
        <v>93.84</v>
      </c>
      <c r="C5" s="10" t="s">
        <v>63</v>
      </c>
      <c r="D5" s="9">
        <v>93.84</v>
      </c>
      <c r="E5" s="10" t="s">
        <v>63</v>
      </c>
      <c r="F5" s="9">
        <v>96</v>
      </c>
      <c r="G5" s="10" t="s">
        <v>165</v>
      </c>
      <c r="H5" s="9">
        <v>93.84</v>
      </c>
      <c r="I5" s="10" t="s">
        <v>63</v>
      </c>
      <c r="J5" s="9"/>
      <c r="K5" s="10"/>
      <c r="L5" s="9" t="s">
        <v>26</v>
      </c>
      <c r="M5" s="10"/>
      <c r="N5" s="9"/>
      <c r="O5" s="10" t="s">
        <v>63</v>
      </c>
      <c r="P5" s="9">
        <v>93.84</v>
      </c>
      <c r="Q5" s="10"/>
      <c r="R5" s="9"/>
      <c r="S5" s="10" t="s">
        <v>63</v>
      </c>
      <c r="T5" s="9">
        <v>93.84</v>
      </c>
      <c r="U5" s="10" t="s">
        <v>233</v>
      </c>
      <c r="V5" s="6">
        <v>46.09</v>
      </c>
      <c r="W5" s="10" t="s">
        <v>236</v>
      </c>
      <c r="X5" s="9">
        <v>149.74</v>
      </c>
    </row>
    <row r="6" spans="1:24" x14ac:dyDescent="0.25">
      <c r="A6" s="10" t="s">
        <v>25</v>
      </c>
      <c r="B6" s="6">
        <v>186.2</v>
      </c>
      <c r="C6" s="10"/>
      <c r="D6" s="9"/>
      <c r="E6" s="10" t="s">
        <v>110</v>
      </c>
      <c r="F6" s="6">
        <v>60.28</v>
      </c>
      <c r="G6" s="10" t="s">
        <v>157</v>
      </c>
      <c r="H6" s="6">
        <v>51.76</v>
      </c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 t="s">
        <v>129</v>
      </c>
      <c r="V6" s="6">
        <v>44.76</v>
      </c>
      <c r="W6" s="10" t="s">
        <v>99</v>
      </c>
      <c r="X6" s="9">
        <v>48.44</v>
      </c>
    </row>
    <row r="7" spans="1:24" x14ac:dyDescent="0.25">
      <c r="A7" s="10" t="s">
        <v>144</v>
      </c>
      <c r="B7" s="6">
        <v>135.82</v>
      </c>
      <c r="C7" s="10"/>
      <c r="D7" s="9"/>
      <c r="E7" s="10"/>
      <c r="F7" s="9"/>
      <c r="G7" s="10" t="s">
        <v>164</v>
      </c>
      <c r="H7" s="6">
        <v>46.83</v>
      </c>
      <c r="I7" s="10" t="s">
        <v>25</v>
      </c>
      <c r="J7" s="9">
        <v>186.2</v>
      </c>
      <c r="K7" s="10" t="s">
        <v>25</v>
      </c>
      <c r="L7" s="9"/>
      <c r="M7" s="10" t="s">
        <v>25</v>
      </c>
      <c r="N7" s="6">
        <v>186.2</v>
      </c>
      <c r="O7" s="10" t="s">
        <v>25</v>
      </c>
      <c r="P7" s="9">
        <v>186.2</v>
      </c>
      <c r="Q7" s="10" t="s">
        <v>25</v>
      </c>
      <c r="R7" s="9"/>
      <c r="S7" s="10" t="s">
        <v>25</v>
      </c>
      <c r="T7" s="9">
        <v>186.2</v>
      </c>
      <c r="U7" s="10" t="s">
        <v>234</v>
      </c>
      <c r="V7" s="6">
        <v>138.16</v>
      </c>
      <c r="W7" s="10" t="s">
        <v>237</v>
      </c>
      <c r="X7" s="9">
        <v>48.55</v>
      </c>
    </row>
    <row r="8" spans="1:24" x14ac:dyDescent="0.25">
      <c r="A8" s="10" t="s">
        <v>145</v>
      </c>
      <c r="B8" s="6">
        <v>110.35</v>
      </c>
      <c r="C8" s="10" t="str">
        <f>CONCATENATE("ELETROPAULO ", UPPER(TEXT(C1,"mmm")))</f>
        <v>ELETROPAULO FEB</v>
      </c>
      <c r="D8" s="9"/>
      <c r="E8" s="10"/>
      <c r="F8" s="9"/>
      <c r="G8" s="10" t="str">
        <f>CONCATENATE("ELETROPAULO ", UPPER(TEXT(G1,"mmm")))</f>
        <v>ELETROPAULO APR</v>
      </c>
      <c r="H8" s="6">
        <v>134.30000000000001</v>
      </c>
      <c r="I8" s="10" t="str">
        <f>CONCATENATE("ELETROPAULO ", UPPER(TEXT(I1,"mmm")))</f>
        <v>ELETROPAULO MAY</v>
      </c>
      <c r="J8" s="9"/>
      <c r="K8" s="10" t="str">
        <f>CONCATENATE("ELETROPAULO ", UPPER(TEXT(K1,"mmm")))</f>
        <v>ELETROPAULO JUN</v>
      </c>
      <c r="L8" s="6"/>
      <c r="M8" s="10" t="str">
        <f>CONCATENATE("ELETROPAULO ", UPPER(TEXT(M1,"mmm")))</f>
        <v>ELETROPAULO JUL</v>
      </c>
      <c r="N8" s="6">
        <v>103.07</v>
      </c>
      <c r="O8" s="10" t="str">
        <f>CONCATENATE("ELETROPAULO ", UPPER(TEXT(O1,"mmm")))</f>
        <v>ELETROPAULO AUG</v>
      </c>
      <c r="P8" s="9"/>
      <c r="Q8" s="10" t="str">
        <f>CONCATENATE("ELETROPAULO ", UPPER(TEXT(Q1,"mmm")))</f>
        <v>ELETROPAULO SEP</v>
      </c>
      <c r="R8" s="9"/>
      <c r="S8" s="10" t="str">
        <f>CONCATENATE("ELETROPAULO ", UPPER(TEXT(S1,"mmm")))</f>
        <v>ELETROPAULO OCT</v>
      </c>
      <c r="T8" s="9"/>
      <c r="U8" s="10"/>
      <c r="V8" s="9"/>
      <c r="W8" s="10" t="s">
        <v>239</v>
      </c>
      <c r="X8" s="6">
        <v>622.91</v>
      </c>
    </row>
    <row r="9" spans="1:24" x14ac:dyDescent="0.25">
      <c r="A9" s="10" t="s">
        <v>146</v>
      </c>
      <c r="B9" s="6">
        <v>132.78</v>
      </c>
      <c r="C9" s="10"/>
      <c r="D9" s="9"/>
      <c r="E9" s="10"/>
      <c r="F9" s="9"/>
      <c r="G9" s="10" t="s">
        <v>156</v>
      </c>
      <c r="H9" s="6">
        <v>149.38</v>
      </c>
      <c r="I9" s="10"/>
      <c r="J9" s="9"/>
      <c r="K9" s="10" t="s">
        <v>221</v>
      </c>
      <c r="L9" s="6"/>
      <c r="M9" s="10" t="s">
        <v>127</v>
      </c>
      <c r="N9" s="6">
        <v>372.49</v>
      </c>
      <c r="O9" s="10"/>
      <c r="P9" s="9"/>
      <c r="Q9" s="10" t="s">
        <v>127</v>
      </c>
      <c r="R9" s="6">
        <v>372.88</v>
      </c>
      <c r="S9" s="10"/>
      <c r="T9" s="9"/>
      <c r="U9" s="10" t="s">
        <v>127</v>
      </c>
      <c r="V9" s="6">
        <v>372.88</v>
      </c>
      <c r="W9" s="10" t="s">
        <v>109</v>
      </c>
      <c r="X9" s="6">
        <v>115</v>
      </c>
    </row>
    <row r="10" spans="1:24" x14ac:dyDescent="0.25">
      <c r="A10" s="10" t="s">
        <v>147</v>
      </c>
      <c r="B10" s="6">
        <v>75.23</v>
      </c>
      <c r="C10" s="10" t="str">
        <f>CONCATENATE("SABESP ", UPPER(TEXT(C1,"mmm")))</f>
        <v>SABESP FEB</v>
      </c>
      <c r="D10" s="9"/>
      <c r="E10" s="10"/>
      <c r="F10" s="9">
        <v>400</v>
      </c>
      <c r="G10" s="44" t="s">
        <v>166</v>
      </c>
      <c r="H10" s="9">
        <v>500</v>
      </c>
      <c r="I10" s="10" t="str">
        <f>CONCATENATE("SABESP ", UPPER(TEXT(I1,"mmm")))</f>
        <v>SABESP MAY</v>
      </c>
      <c r="J10" s="9"/>
      <c r="K10" s="10" t="s">
        <v>127</v>
      </c>
      <c r="L10" s="6"/>
      <c r="M10" s="10" t="str">
        <f>CONCATENATE("SABESP ", UPPER(TEXT(M1,"mmm")))</f>
        <v>SABESP JUL</v>
      </c>
      <c r="N10" s="9"/>
      <c r="O10" s="10" t="str">
        <f>CONCATENATE("SABESP ", UPPER(TEXT(O1,"mmm")))</f>
        <v>SABESP AUG</v>
      </c>
      <c r="P10" s="9"/>
      <c r="Q10" s="10" t="str">
        <f>CONCATENATE("SABESP ", UPPER(TEXT(Q1,"mmm")))</f>
        <v>SABESP SEP</v>
      </c>
      <c r="R10" s="9">
        <v>46.09</v>
      </c>
      <c r="S10" s="10" t="str">
        <f>CONCATENATE("SABESP ", UPPER(TEXT(S1,"mmm")))</f>
        <v>SABESP OCT</v>
      </c>
      <c r="T10" s="9"/>
      <c r="U10" s="10"/>
      <c r="V10" s="9"/>
      <c r="W10" s="10" t="s">
        <v>20</v>
      </c>
      <c r="X10" s="6">
        <v>516</v>
      </c>
    </row>
    <row r="11" spans="1:24" x14ac:dyDescent="0.25">
      <c r="A11" s="10" t="str">
        <f>CONCATENATE("SABESP ", UPPER(TEXT(A1,"mmm")))</f>
        <v>SABESP JAN</v>
      </c>
      <c r="B11" s="9"/>
      <c r="C11" s="10" t="s">
        <v>109</v>
      </c>
      <c r="D11" s="9">
        <v>58.14</v>
      </c>
      <c r="E11" s="10" t="s">
        <v>109</v>
      </c>
      <c r="F11" s="6">
        <v>109.13</v>
      </c>
      <c r="G11" s="44" t="s">
        <v>167</v>
      </c>
      <c r="H11" s="6">
        <v>70</v>
      </c>
      <c r="I11" s="10" t="s">
        <v>109</v>
      </c>
      <c r="J11" s="6">
        <v>8.94</v>
      </c>
      <c r="K11" s="10" t="s">
        <v>109</v>
      </c>
      <c r="L11" s="6">
        <v>8.94</v>
      </c>
      <c r="M11" s="10" t="s">
        <v>109</v>
      </c>
      <c r="N11" s="9">
        <v>9.14</v>
      </c>
      <c r="O11" s="10" t="s">
        <v>109</v>
      </c>
      <c r="P11" s="9">
        <v>58.14</v>
      </c>
      <c r="Q11" s="10" t="s">
        <v>109</v>
      </c>
      <c r="R11" s="6">
        <v>105.75</v>
      </c>
      <c r="S11" s="10" t="s">
        <v>109</v>
      </c>
      <c r="T11" s="9">
        <v>58.14</v>
      </c>
      <c r="U11" s="10" t="s">
        <v>109</v>
      </c>
      <c r="V11" s="6">
        <v>105.92</v>
      </c>
      <c r="W11" s="10" t="s">
        <v>128</v>
      </c>
      <c r="X11" s="9"/>
    </row>
    <row r="12" spans="1:24" x14ac:dyDescent="0.25">
      <c r="A12" s="10" t="s">
        <v>20</v>
      </c>
      <c r="B12" s="6">
        <v>469</v>
      </c>
      <c r="C12" s="10" t="s">
        <v>20</v>
      </c>
      <c r="D12" s="6">
        <v>504</v>
      </c>
      <c r="E12" s="10" t="s">
        <v>20</v>
      </c>
      <c r="F12" s="6">
        <v>624</v>
      </c>
      <c r="G12" s="10" t="s">
        <v>20</v>
      </c>
      <c r="H12" s="6">
        <v>504</v>
      </c>
      <c r="I12" s="10" t="s">
        <v>20</v>
      </c>
      <c r="J12" s="6">
        <v>504</v>
      </c>
      <c r="K12" s="10" t="s">
        <v>20</v>
      </c>
      <c r="L12" s="6">
        <v>504</v>
      </c>
      <c r="M12" s="10" t="s">
        <v>20</v>
      </c>
      <c r="N12" s="6">
        <v>624</v>
      </c>
      <c r="O12" s="10" t="s">
        <v>20</v>
      </c>
      <c r="P12" s="9">
        <v>483.84</v>
      </c>
      <c r="Q12" s="10" t="s">
        <v>20</v>
      </c>
      <c r="R12" s="9">
        <v>504</v>
      </c>
      <c r="S12" s="10" t="s">
        <v>20</v>
      </c>
      <c r="T12" s="9">
        <v>483.84</v>
      </c>
      <c r="U12" s="10" t="s">
        <v>20</v>
      </c>
      <c r="V12" s="9">
        <v>504</v>
      </c>
      <c r="W12" s="10" t="s">
        <v>238</v>
      </c>
      <c r="X12" s="9"/>
    </row>
    <row r="13" spans="1:24" x14ac:dyDescent="0.25">
      <c r="A13" s="10" t="s">
        <v>109</v>
      </c>
      <c r="B13" s="6">
        <v>109.13</v>
      </c>
      <c r="C13" s="26"/>
      <c r="D13" s="9"/>
      <c r="E13" s="26"/>
      <c r="F13" s="9"/>
      <c r="G13" s="44" t="s">
        <v>168</v>
      </c>
      <c r="H13" s="6">
        <v>610</v>
      </c>
      <c r="I13" s="26"/>
      <c r="J13" s="9"/>
      <c r="K13" s="26"/>
      <c r="L13" s="9"/>
      <c r="M13" s="26"/>
      <c r="N13" s="9"/>
      <c r="O13" s="26"/>
      <c r="P13" s="9"/>
      <c r="Q13" s="26"/>
      <c r="R13" s="9"/>
      <c r="S13" s="26"/>
      <c r="T13" s="9"/>
      <c r="U13" s="26"/>
      <c r="V13" s="9"/>
      <c r="W13" s="26" t="s">
        <v>240</v>
      </c>
      <c r="X13" s="6">
        <v>186.2</v>
      </c>
    </row>
    <row r="14" spans="1:24" x14ac:dyDescent="0.25">
      <c r="A14" s="10" t="s">
        <v>130</v>
      </c>
      <c r="B14" s="6">
        <v>159.55000000000001</v>
      </c>
      <c r="C14" s="10" t="s">
        <v>135</v>
      </c>
      <c r="D14" s="6">
        <v>159.55000000000001</v>
      </c>
      <c r="E14" s="10" t="s">
        <v>138</v>
      </c>
      <c r="F14" s="6">
        <v>159.55000000000001</v>
      </c>
      <c r="G14" s="44" t="s">
        <v>169</v>
      </c>
      <c r="H14" s="6">
        <v>145</v>
      </c>
      <c r="I14" s="44" t="s">
        <v>169</v>
      </c>
      <c r="J14" s="6">
        <v>145</v>
      </c>
      <c r="K14" s="10"/>
      <c r="L14" s="9"/>
      <c r="M14" s="10" t="s">
        <v>224</v>
      </c>
      <c r="N14" s="6">
        <v>880.34</v>
      </c>
      <c r="O14" s="10"/>
      <c r="P14" s="9"/>
      <c r="Q14" s="10" t="s">
        <v>224</v>
      </c>
      <c r="R14" s="9"/>
      <c r="S14" s="10"/>
      <c r="T14" s="9"/>
      <c r="U14" s="10" t="s">
        <v>224</v>
      </c>
      <c r="V14" s="9"/>
      <c r="W14" s="10"/>
      <c r="X14" s="9"/>
    </row>
    <row r="15" spans="1:24" x14ac:dyDescent="0.25">
      <c r="A15" s="10" t="s">
        <v>131</v>
      </c>
      <c r="B15" s="6">
        <v>390.73</v>
      </c>
      <c r="C15" s="10" t="s">
        <v>136</v>
      </c>
      <c r="D15" s="6">
        <v>390.73</v>
      </c>
      <c r="E15" s="10" t="s">
        <v>136</v>
      </c>
      <c r="F15" s="6">
        <v>390.73</v>
      </c>
      <c r="G15" s="10" t="s">
        <v>139</v>
      </c>
      <c r="H15" s="6">
        <v>390.73</v>
      </c>
      <c r="I15" s="10"/>
      <c r="J15" s="9"/>
      <c r="K15" s="10"/>
      <c r="L15" s="9"/>
      <c r="M15" s="10" t="s">
        <v>225</v>
      </c>
      <c r="N15" s="6">
        <v>20.8</v>
      </c>
      <c r="O15" s="10"/>
      <c r="P15" s="9"/>
      <c r="Q15" s="10" t="s">
        <v>225</v>
      </c>
      <c r="R15" s="9"/>
      <c r="S15" s="10"/>
      <c r="T15" s="9"/>
      <c r="U15" s="10" t="s">
        <v>225</v>
      </c>
      <c r="V15" s="9"/>
      <c r="W15" s="10"/>
      <c r="X15" s="9"/>
    </row>
    <row r="16" spans="1:24" x14ac:dyDescent="0.25">
      <c r="A16" s="10" t="s">
        <v>132</v>
      </c>
      <c r="B16" s="6">
        <v>193.61</v>
      </c>
      <c r="C16" s="10"/>
      <c r="D16" s="9"/>
      <c r="E16" s="10"/>
      <c r="F16" s="9"/>
      <c r="G16" s="44" t="s">
        <v>170</v>
      </c>
      <c r="H16" s="6">
        <v>286</v>
      </c>
      <c r="I16" s="10"/>
      <c r="J16" s="9"/>
      <c r="K16" s="10"/>
      <c r="L16" s="9"/>
      <c r="M16" s="10" t="s">
        <v>18</v>
      </c>
      <c r="N16" s="6">
        <v>152.46</v>
      </c>
      <c r="O16" s="10"/>
      <c r="P16" s="9"/>
      <c r="Q16" s="10" t="s">
        <v>18</v>
      </c>
      <c r="R16" s="9"/>
      <c r="S16" s="10"/>
      <c r="T16" s="9"/>
      <c r="U16" s="10" t="s">
        <v>18</v>
      </c>
      <c r="V16" s="9"/>
      <c r="W16" s="10"/>
      <c r="X16" s="9"/>
    </row>
    <row r="17" spans="1:24" x14ac:dyDescent="0.25">
      <c r="A17" s="10" t="s">
        <v>140</v>
      </c>
      <c r="B17" s="11">
        <v>545</v>
      </c>
      <c r="C17" s="10" t="s">
        <v>142</v>
      </c>
      <c r="D17" s="6">
        <v>591.29999999999995</v>
      </c>
      <c r="E17" s="10" t="s">
        <v>158</v>
      </c>
      <c r="F17" s="6">
        <v>610.16999999999996</v>
      </c>
      <c r="G17" s="10" t="s">
        <v>159</v>
      </c>
      <c r="H17" s="6">
        <v>586.01</v>
      </c>
      <c r="I17" s="10" t="s">
        <v>160</v>
      </c>
      <c r="J17" s="6">
        <v>596.46</v>
      </c>
      <c r="K17" s="10" t="s">
        <v>161</v>
      </c>
      <c r="L17" s="6">
        <v>597.46</v>
      </c>
      <c r="M17" s="10" t="s">
        <v>161</v>
      </c>
      <c r="N17" s="9">
        <v>600</v>
      </c>
      <c r="O17" s="10" t="s">
        <v>162</v>
      </c>
      <c r="P17" s="9">
        <v>545</v>
      </c>
      <c r="Q17" s="10" t="s">
        <v>229</v>
      </c>
      <c r="R17" s="6">
        <v>624.41</v>
      </c>
      <c r="S17" s="10" t="s">
        <v>226</v>
      </c>
      <c r="T17" s="9">
        <v>545</v>
      </c>
      <c r="U17" s="10"/>
      <c r="V17" s="6"/>
      <c r="W17" s="10"/>
      <c r="X17" s="9"/>
    </row>
    <row r="18" spans="1:24" x14ac:dyDescent="0.25">
      <c r="A18" s="10" t="s">
        <v>133</v>
      </c>
      <c r="B18" s="11">
        <v>375</v>
      </c>
      <c r="C18" s="10" t="s">
        <v>137</v>
      </c>
      <c r="D18" s="6">
        <v>375</v>
      </c>
      <c r="E18" s="10" t="s">
        <v>137</v>
      </c>
      <c r="F18" s="9">
        <v>375</v>
      </c>
      <c r="G18" s="10" t="s">
        <v>141</v>
      </c>
      <c r="H18" s="6">
        <v>375</v>
      </c>
      <c r="I18" s="10" t="s">
        <v>127</v>
      </c>
      <c r="J18" s="6">
        <v>404</v>
      </c>
      <c r="K18" s="10"/>
      <c r="L18" s="6"/>
      <c r="M18" s="10" t="s">
        <v>222</v>
      </c>
      <c r="N18" s="6">
        <v>230.09</v>
      </c>
      <c r="O18" s="10" t="s">
        <v>223</v>
      </c>
      <c r="P18" s="9">
        <v>230.09</v>
      </c>
      <c r="Q18" s="10" t="s">
        <v>223</v>
      </c>
      <c r="R18" s="9">
        <v>230.09</v>
      </c>
      <c r="S18" s="10"/>
      <c r="T18" s="9"/>
      <c r="U18" s="10"/>
      <c r="V18" s="9"/>
      <c r="W18" s="10"/>
      <c r="X18" s="9"/>
    </row>
    <row r="19" spans="1:24" x14ac:dyDescent="0.25">
      <c r="A19" s="10" t="s">
        <v>148</v>
      </c>
      <c r="B19" s="6">
        <v>230.09</v>
      </c>
      <c r="C19" s="10" t="s">
        <v>148</v>
      </c>
      <c r="D19" s="6">
        <v>230.09</v>
      </c>
      <c r="E19" s="10" t="s">
        <v>148</v>
      </c>
      <c r="F19" s="6">
        <v>230.09</v>
      </c>
      <c r="G19" s="10" t="s">
        <v>127</v>
      </c>
      <c r="H19" s="6">
        <v>353.27</v>
      </c>
      <c r="I19" s="10" t="s">
        <v>148</v>
      </c>
      <c r="J19" s="6">
        <v>230.09</v>
      </c>
      <c r="K19" s="10"/>
      <c r="L19" s="6">
        <v>230.09</v>
      </c>
      <c r="M19" s="10"/>
      <c r="N19" s="9"/>
      <c r="O19" s="10"/>
      <c r="P19" s="9"/>
      <c r="Q19" s="10" t="s">
        <v>230</v>
      </c>
      <c r="R19" s="6">
        <v>1172.6600000000001</v>
      </c>
      <c r="S19" s="10"/>
      <c r="T19" s="9"/>
      <c r="U19" s="10" t="s">
        <v>230</v>
      </c>
      <c r="V19" s="6">
        <v>1172.6600000000001</v>
      </c>
      <c r="W19" s="10"/>
      <c r="X19" s="9"/>
    </row>
    <row r="20" spans="1:24" x14ac:dyDescent="0.25">
      <c r="A20" s="10" t="s">
        <v>29</v>
      </c>
      <c r="B20" s="11">
        <v>1500</v>
      </c>
      <c r="C20" s="10" t="s">
        <v>29</v>
      </c>
      <c r="D20" s="9">
        <v>1901.99</v>
      </c>
      <c r="E20" s="10" t="s">
        <v>29</v>
      </c>
      <c r="F20" s="9">
        <v>1901.99</v>
      </c>
      <c r="G20" s="10" t="s">
        <v>29</v>
      </c>
      <c r="H20" s="6">
        <v>1565.38</v>
      </c>
      <c r="I20" s="10" t="s">
        <v>29</v>
      </c>
      <c r="J20" s="9">
        <v>1901.99</v>
      </c>
      <c r="K20" s="10" t="s">
        <v>29</v>
      </c>
      <c r="L20" s="9">
        <v>1901.99</v>
      </c>
      <c r="M20" s="10" t="s">
        <v>29</v>
      </c>
      <c r="N20" s="9"/>
      <c r="O20" s="10" t="s">
        <v>29</v>
      </c>
      <c r="P20" s="9"/>
      <c r="Q20" s="10" t="s">
        <v>29</v>
      </c>
      <c r="R20" s="6">
        <v>647.64</v>
      </c>
      <c r="S20" s="10" t="s">
        <v>29</v>
      </c>
      <c r="T20" s="9"/>
      <c r="U20" s="10" t="s">
        <v>29</v>
      </c>
      <c r="V20" s="6">
        <v>647.64</v>
      </c>
      <c r="W20" s="10"/>
      <c r="X20" s="9"/>
    </row>
    <row r="21" spans="1:24" x14ac:dyDescent="0.25">
      <c r="A21" s="10"/>
      <c r="B21" s="9"/>
      <c r="C21" s="10" t="s">
        <v>149</v>
      </c>
      <c r="D21" s="9"/>
      <c r="E21" s="10" t="s">
        <v>150</v>
      </c>
      <c r="F21" s="9"/>
      <c r="G21" s="10" t="s">
        <v>151</v>
      </c>
      <c r="H21" s="9"/>
      <c r="I21" s="10" t="s">
        <v>152</v>
      </c>
      <c r="J21" s="9"/>
      <c r="K21" s="10" t="s">
        <v>153</v>
      </c>
      <c r="L21" s="9"/>
      <c r="M21" s="10" t="s">
        <v>154</v>
      </c>
      <c r="N21" s="9"/>
      <c r="O21" s="10" t="s">
        <v>155</v>
      </c>
      <c r="P21" s="9"/>
      <c r="Q21" s="10" t="s">
        <v>227</v>
      </c>
      <c r="R21" s="9"/>
      <c r="S21" s="10" t="s">
        <v>228</v>
      </c>
      <c r="T21" s="9"/>
      <c r="U21" s="10" t="s">
        <v>231</v>
      </c>
      <c r="V21" s="9"/>
      <c r="W21" s="10"/>
      <c r="X21" s="9"/>
    </row>
    <row r="22" spans="1:24" x14ac:dyDescent="0.25">
      <c r="A22" s="10"/>
      <c r="B22" s="11"/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  <c r="Q22" s="10" t="s">
        <v>170</v>
      </c>
      <c r="R22" s="6">
        <v>422.59</v>
      </c>
      <c r="S22" s="10"/>
      <c r="T22" s="6"/>
      <c r="U22" s="10" t="s">
        <v>170</v>
      </c>
      <c r="V22" s="6">
        <v>422.59</v>
      </c>
      <c r="W22" s="10"/>
      <c r="X22" s="6"/>
    </row>
    <row r="23" spans="1:24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9"/>
      <c r="S23" s="10"/>
      <c r="T23" s="11"/>
      <c r="U23" s="10"/>
      <c r="V23" s="9"/>
      <c r="W23" s="10"/>
      <c r="X23" s="11"/>
    </row>
    <row r="24" spans="1:24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  <c r="Q24" s="10"/>
      <c r="R24" s="9"/>
      <c r="S24" s="10"/>
      <c r="T24" s="11"/>
      <c r="U24" s="10"/>
      <c r="V24" s="9"/>
      <c r="W24" s="10"/>
      <c r="X24" s="11"/>
    </row>
    <row r="25" spans="1:24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  <c r="Q25" s="10"/>
      <c r="R25" s="9"/>
      <c r="S25" s="10"/>
      <c r="T25" s="11"/>
      <c r="U25" s="10"/>
      <c r="V25" s="9"/>
      <c r="W25" s="10"/>
      <c r="X25" s="11"/>
    </row>
    <row r="26" spans="1:24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  <c r="Q26" s="10"/>
      <c r="R26" s="9"/>
      <c r="S26" s="10"/>
      <c r="T26" s="11"/>
      <c r="U26" s="10"/>
      <c r="V26" s="9"/>
      <c r="W26" s="10"/>
      <c r="X26" s="11"/>
    </row>
    <row r="27" spans="1:24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  <c r="Q27" s="10"/>
      <c r="R27" s="9"/>
      <c r="S27" s="10"/>
      <c r="T27" s="11"/>
      <c r="U27" s="10"/>
      <c r="V27" s="9"/>
      <c r="W27" s="10"/>
      <c r="X27" s="11"/>
    </row>
    <row r="28" spans="1:24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  <c r="Q28" s="10" t="s">
        <v>5</v>
      </c>
      <c r="R28" s="9"/>
      <c r="S28" s="10" t="s">
        <v>5</v>
      </c>
      <c r="T28" s="11"/>
      <c r="U28" s="10" t="s">
        <v>5</v>
      </c>
      <c r="V28" s="9"/>
      <c r="W28" s="10" t="s">
        <v>5</v>
      </c>
      <c r="X28" s="11"/>
    </row>
    <row r="29" spans="1:24" x14ac:dyDescent="0.25">
      <c r="A29" s="6" t="s">
        <v>4</v>
      </c>
      <c r="B29" s="7">
        <f>gfCountIfColor(B3:B28,A29)</f>
        <v>3244.09</v>
      </c>
      <c r="C29" s="6" t="s">
        <v>4</v>
      </c>
      <c r="D29" s="7">
        <f>gfCountIfColor(D4:D28,C29)</f>
        <v>2250.67</v>
      </c>
      <c r="E29" s="6" t="s">
        <v>4</v>
      </c>
      <c r="F29" s="7">
        <f>gfCountIfColor(F4:F28,E29)</f>
        <v>2183.9500000000003</v>
      </c>
      <c r="G29" s="6" t="s">
        <v>4</v>
      </c>
      <c r="H29" s="7" t="e">
        <f>gfCountIfColor(H4:H28,G29)</f>
        <v>#VALUE!</v>
      </c>
      <c r="I29" s="6" t="s">
        <v>4</v>
      </c>
      <c r="J29" s="7">
        <f>gfCountIfColor(J4:J28,I29)</f>
        <v>1888.49</v>
      </c>
      <c r="K29" s="6" t="s">
        <v>4</v>
      </c>
      <c r="L29" s="7">
        <f>gfCountIfColor(L4:L28,K29)</f>
        <v>1340.49</v>
      </c>
      <c r="M29" s="6" t="s">
        <v>4</v>
      </c>
      <c r="N29" s="7">
        <f>gfCountIfColor(N4:N28,M29)</f>
        <v>2569.4500000000003</v>
      </c>
      <c r="O29" s="6" t="s">
        <v>4</v>
      </c>
      <c r="P29" s="7">
        <f>gfCountIfColor(P4:P28,O29)</f>
        <v>0</v>
      </c>
      <c r="Q29" s="6" t="s">
        <v>4</v>
      </c>
      <c r="R29" s="7" t="e">
        <f>gfCountIfColor(R4:R28,Q29)</f>
        <v>#VALUE!</v>
      </c>
      <c r="S29" s="6" t="s">
        <v>4</v>
      </c>
      <c r="T29" s="7">
        <f>gfCountIfColor(T4:T28,S29)</f>
        <v>0</v>
      </c>
      <c r="U29" s="6" t="s">
        <v>4</v>
      </c>
      <c r="V29" s="7">
        <f>gfCountIfColor(V4:V28,U29)</f>
        <v>3595.0400000000004</v>
      </c>
      <c r="W29" s="6" t="s">
        <v>4</v>
      </c>
      <c r="X29" s="7">
        <f>gfCountIfColor(X4:X28,W29)</f>
        <v>1440.11</v>
      </c>
    </row>
    <row r="30" spans="1:24" x14ac:dyDescent="0.25">
      <c r="A30" s="9" t="s">
        <v>7</v>
      </c>
      <c r="B30" s="8">
        <f>gfCountIfColor(B3:B28,A30)</f>
        <v>0</v>
      </c>
      <c r="C30" s="9" t="s">
        <v>7</v>
      </c>
      <c r="D30" s="8" t="e">
        <f>gfCountIfColor(D3:D28,C30)</f>
        <v>#VALUE!</v>
      </c>
      <c r="E30" s="9" t="s">
        <v>7</v>
      </c>
      <c r="F30" s="8" t="e">
        <f>gfCountIfColor(F4:F28,E30)</f>
        <v>#VALUE!</v>
      </c>
      <c r="G30" s="9" t="s">
        <v>7</v>
      </c>
      <c r="H30" s="8">
        <f>gfCountIfColor(H4:H28,G30)</f>
        <v>593.84</v>
      </c>
      <c r="I30" s="9" t="s">
        <v>7</v>
      </c>
      <c r="J30" s="8" t="e">
        <f>gfCountIfColor(J4:J28,I30)</f>
        <v>#VALUE!</v>
      </c>
      <c r="K30" s="9" t="s">
        <v>7</v>
      </c>
      <c r="L30" s="8" t="e">
        <f>gfCountIfColor(L4:L28,K30)</f>
        <v>#VALUE!</v>
      </c>
      <c r="M30" s="9" t="s">
        <v>7</v>
      </c>
      <c r="N30" s="8">
        <f>gfCountIfColor(N4:N28,M30)</f>
        <v>609.14</v>
      </c>
      <c r="O30" s="9" t="s">
        <v>7</v>
      </c>
      <c r="P30" s="8">
        <f>gfCountIfColor(P4:P28,O30)</f>
        <v>1597.11</v>
      </c>
      <c r="Q30" s="9" t="s">
        <v>7</v>
      </c>
      <c r="R30" s="8">
        <f>gfCountIfColor(R4:R28,Q30)</f>
        <v>780.18000000000006</v>
      </c>
      <c r="S30" s="9" t="s">
        <v>7</v>
      </c>
      <c r="T30" s="8">
        <f>gfCountIfColor(T4:T28,S30)</f>
        <v>1367.02</v>
      </c>
      <c r="U30" s="9" t="s">
        <v>7</v>
      </c>
      <c r="V30" s="8">
        <f>gfCountIfColor(V4:V28,U30)</f>
        <v>504</v>
      </c>
      <c r="W30" s="9" t="s">
        <v>7</v>
      </c>
      <c r="X30" s="8">
        <f>gfCountIfColor(X4:X28,W30)</f>
        <v>345.13000000000005</v>
      </c>
    </row>
    <row r="31" spans="1:24" x14ac:dyDescent="0.25">
      <c r="A31" s="11" t="s">
        <v>6</v>
      </c>
      <c r="B31" s="12" t="e">
        <f>gfCountIfColor(B3:B28,A31)</f>
        <v>#VALUE!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  <c r="Q31" s="11" t="s">
        <v>6</v>
      </c>
      <c r="R31" s="12">
        <f>gfCountIfColor(R5:R29,Q31)</f>
        <v>0</v>
      </c>
      <c r="S31" s="11" t="s">
        <v>6</v>
      </c>
      <c r="T31" s="12">
        <f>gfCountIfColor(T5:T29,S31)</f>
        <v>0</v>
      </c>
      <c r="U31" s="11" t="s">
        <v>6</v>
      </c>
      <c r="V31" s="12">
        <f>gfCountIfColor(V5:V29,U31)</f>
        <v>0</v>
      </c>
      <c r="W31" s="11" t="s">
        <v>6</v>
      </c>
      <c r="X31" s="12">
        <f>gfCountIfColor(X5:X29,W31)</f>
        <v>0</v>
      </c>
    </row>
    <row r="34" spans="3:15" x14ac:dyDescent="0.25">
      <c r="O34">
        <v>3471</v>
      </c>
    </row>
    <row r="35" spans="3:15" x14ac:dyDescent="0.25">
      <c r="C35" s="38">
        <v>2152</v>
      </c>
    </row>
    <row r="36" spans="3:15" x14ac:dyDescent="0.25">
      <c r="C36">
        <v>260</v>
      </c>
    </row>
    <row r="37" spans="3:15" x14ac:dyDescent="0.25">
      <c r="C37">
        <v>858</v>
      </c>
    </row>
    <row r="38" spans="3:15" x14ac:dyDescent="0.25">
      <c r="C38">
        <v>300</v>
      </c>
    </row>
    <row r="40" spans="3:15" x14ac:dyDescent="0.25">
      <c r="E40">
        <f>504-469</f>
        <v>35</v>
      </c>
    </row>
  </sheetData>
  <mergeCells count="12">
    <mergeCell ref="U1:V1"/>
    <mergeCell ref="W1:X1"/>
    <mergeCell ref="Q1:R1"/>
    <mergeCell ref="S1:T1"/>
    <mergeCell ref="M1:N1"/>
    <mergeCell ref="O1:P1"/>
    <mergeCell ref="K1:L1"/>
    <mergeCell ref="A1:B1"/>
    <mergeCell ref="C1:D1"/>
    <mergeCell ref="E1:F1"/>
    <mergeCell ref="G1:H1"/>
    <mergeCell ref="I1:J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31"/>
  <sheetViews>
    <sheetView tabSelected="1" topLeftCell="E1" workbookViewId="0">
      <selection activeCell="W15" sqref="W15"/>
    </sheetView>
  </sheetViews>
  <sheetFormatPr defaultRowHeight="15" x14ac:dyDescent="0.25"/>
  <cols>
    <col min="1" max="1" width="19.28515625" bestFit="1" customWidth="1"/>
    <col min="2" max="6" width="3" customWidth="1"/>
    <col min="7" max="7" width="10.85546875" customWidth="1"/>
    <col min="8" max="8" width="15.140625" hidden="1" customWidth="1"/>
    <col min="9" max="9" width="9.42578125" customWidth="1"/>
    <col min="10" max="10" width="12.140625" hidden="1" customWidth="1"/>
    <col min="11" max="11" width="8.5703125" customWidth="1"/>
    <col min="12" max="12" width="12.140625" hidden="1" customWidth="1"/>
    <col min="13" max="13" width="21.42578125" bestFit="1" customWidth="1"/>
    <col min="14" max="14" width="12.140625" bestFit="1" customWidth="1"/>
    <col min="15" max="15" width="21.42578125" bestFit="1" customWidth="1"/>
    <col min="16" max="16" width="12.140625" bestFit="1" customWidth="1"/>
  </cols>
  <sheetData>
    <row r="1" spans="1:16" x14ac:dyDescent="0.25">
      <c r="A1" s="58">
        <v>43101</v>
      </c>
      <c r="B1" s="58"/>
      <c r="C1" s="58">
        <v>43132</v>
      </c>
      <c r="D1" s="58"/>
      <c r="E1" s="58">
        <v>43160</v>
      </c>
      <c r="F1" s="58"/>
      <c r="G1" s="58">
        <v>43191</v>
      </c>
      <c r="H1" s="58"/>
      <c r="I1" s="58">
        <v>43222</v>
      </c>
      <c r="J1" s="58"/>
      <c r="K1" s="58">
        <v>43254</v>
      </c>
      <c r="L1" s="58"/>
      <c r="M1" s="58">
        <v>43286</v>
      </c>
      <c r="N1" s="58"/>
      <c r="O1" s="58">
        <v>43318</v>
      </c>
      <c r="P1" s="58"/>
    </row>
    <row r="2" spans="1:16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</row>
    <row r="3" spans="1:16" x14ac:dyDescent="0.25">
      <c r="A3" s="10" t="s">
        <v>244</v>
      </c>
      <c r="B3" s="9">
        <v>292.14999999999998</v>
      </c>
      <c r="C3" s="10" t="s">
        <v>248</v>
      </c>
      <c r="D3" s="9">
        <v>292.14999999999998</v>
      </c>
      <c r="E3" s="10" t="s">
        <v>245</v>
      </c>
      <c r="F3" s="9">
        <v>292.14999999999998</v>
      </c>
      <c r="G3" s="10" t="s">
        <v>134</v>
      </c>
      <c r="H3" s="6">
        <v>1078.53</v>
      </c>
      <c r="I3" s="10" t="s">
        <v>261</v>
      </c>
      <c r="J3" s="6">
        <v>692.28</v>
      </c>
      <c r="K3" s="10" t="s">
        <v>261</v>
      </c>
      <c r="L3" s="6">
        <v>633.16999999999996</v>
      </c>
      <c r="M3" s="10" t="s">
        <v>320</v>
      </c>
      <c r="N3" s="6">
        <v>633.16999999999996</v>
      </c>
      <c r="O3" s="10" t="s">
        <v>261</v>
      </c>
      <c r="P3" s="9">
        <v>633.16999999999996</v>
      </c>
    </row>
    <row r="4" spans="1:16" x14ac:dyDescent="0.25">
      <c r="A4" s="10" t="s">
        <v>98</v>
      </c>
      <c r="B4" s="6">
        <v>98.4</v>
      </c>
      <c r="C4" s="10" t="s">
        <v>98</v>
      </c>
      <c r="D4" s="6"/>
      <c r="E4" s="10" t="s">
        <v>98</v>
      </c>
      <c r="F4" s="6"/>
      <c r="G4" s="10" t="s">
        <v>251</v>
      </c>
      <c r="H4" s="6">
        <v>633.16999999999996</v>
      </c>
      <c r="I4" s="10" t="s">
        <v>255</v>
      </c>
      <c r="J4" s="6">
        <v>133.99</v>
      </c>
      <c r="K4" s="10" t="s">
        <v>255</v>
      </c>
      <c r="L4" s="6">
        <v>133.99</v>
      </c>
      <c r="M4" s="10" t="s">
        <v>255</v>
      </c>
      <c r="N4" s="6">
        <v>133.99</v>
      </c>
      <c r="O4" s="10" t="s">
        <v>255</v>
      </c>
      <c r="P4" s="9">
        <v>133.99</v>
      </c>
    </row>
    <row r="5" spans="1:16" x14ac:dyDescent="0.25">
      <c r="A5" s="10" t="s">
        <v>236</v>
      </c>
      <c r="B5" s="6">
        <v>149.74</v>
      </c>
      <c r="C5" s="10" t="s">
        <v>236</v>
      </c>
      <c r="D5" s="6"/>
      <c r="E5" s="10" t="s">
        <v>236</v>
      </c>
      <c r="F5" s="6"/>
      <c r="G5" s="10" t="s">
        <v>252</v>
      </c>
      <c r="H5" s="6">
        <v>640.51</v>
      </c>
      <c r="I5" s="10" t="s">
        <v>262</v>
      </c>
      <c r="J5" s="9"/>
      <c r="K5" s="10" t="s">
        <v>262</v>
      </c>
      <c r="L5" s="6">
        <v>591.44000000000005</v>
      </c>
      <c r="M5" s="10" t="s">
        <v>321</v>
      </c>
      <c r="N5" s="6">
        <v>713.74</v>
      </c>
      <c r="O5" s="10" t="s">
        <v>262</v>
      </c>
      <c r="P5" s="9">
        <v>591.44000000000005</v>
      </c>
    </row>
    <row r="6" spans="1:16" x14ac:dyDescent="0.25">
      <c r="A6" s="10" t="s">
        <v>99</v>
      </c>
      <c r="B6" s="6">
        <v>48.44</v>
      </c>
      <c r="C6" s="10" t="s">
        <v>99</v>
      </c>
      <c r="D6" s="6"/>
      <c r="E6" s="10" t="s">
        <v>99</v>
      </c>
      <c r="F6" s="6"/>
      <c r="G6" s="10" t="s">
        <v>253</v>
      </c>
      <c r="H6" s="6">
        <v>633.16999999999996</v>
      </c>
      <c r="I6" s="10" t="s">
        <v>263</v>
      </c>
      <c r="J6" s="9"/>
      <c r="K6" s="10" t="s">
        <v>263</v>
      </c>
      <c r="L6" s="6">
        <v>243.85</v>
      </c>
      <c r="M6" s="10" t="s">
        <v>322</v>
      </c>
      <c r="N6" s="6">
        <v>249.05</v>
      </c>
      <c r="O6" s="10" t="s">
        <v>263</v>
      </c>
      <c r="P6" s="9">
        <v>243.85</v>
      </c>
    </row>
    <row r="7" spans="1:16" x14ac:dyDescent="0.25">
      <c r="A7" s="10" t="s">
        <v>237</v>
      </c>
      <c r="B7" s="6">
        <v>48.55</v>
      </c>
      <c r="C7" s="10" t="s">
        <v>238</v>
      </c>
      <c r="D7" s="6">
        <v>666.77</v>
      </c>
      <c r="E7" s="10" t="s">
        <v>237</v>
      </c>
      <c r="F7" s="6"/>
      <c r="G7" s="10" t="s">
        <v>260</v>
      </c>
      <c r="H7" s="6">
        <v>598.98</v>
      </c>
      <c r="I7" s="10" t="s">
        <v>256</v>
      </c>
      <c r="J7" s="9"/>
      <c r="K7" s="10" t="s">
        <v>318</v>
      </c>
      <c r="L7" s="6">
        <v>139.32</v>
      </c>
      <c r="M7" s="10" t="s">
        <v>256</v>
      </c>
      <c r="N7" s="9"/>
      <c r="O7" s="10" t="s">
        <v>318</v>
      </c>
      <c r="P7" s="9">
        <v>139.32</v>
      </c>
    </row>
    <row r="8" spans="1:16" x14ac:dyDescent="0.25">
      <c r="A8" s="10" t="s">
        <v>239</v>
      </c>
      <c r="B8" s="9">
        <v>622.91</v>
      </c>
      <c r="C8" s="10" t="s">
        <v>247</v>
      </c>
      <c r="D8" s="6">
        <v>648.26</v>
      </c>
      <c r="E8" s="10" t="s">
        <v>239</v>
      </c>
      <c r="F8" s="9">
        <v>622.91</v>
      </c>
      <c r="G8" s="10" t="s">
        <v>254</v>
      </c>
      <c r="H8" s="6">
        <v>524</v>
      </c>
      <c r="I8" s="10" t="s">
        <v>257</v>
      </c>
      <c r="J8" s="9"/>
      <c r="K8" s="10" t="s">
        <v>318</v>
      </c>
      <c r="L8" s="6">
        <v>87.49</v>
      </c>
      <c r="M8" s="10" t="s">
        <v>257</v>
      </c>
      <c r="N8" s="9"/>
      <c r="O8" s="10" t="s">
        <v>318</v>
      </c>
      <c r="P8" s="9">
        <v>87.49</v>
      </c>
    </row>
    <row r="9" spans="1:16" x14ac:dyDescent="0.25">
      <c r="A9" s="10" t="s">
        <v>241</v>
      </c>
      <c r="B9" s="6">
        <v>105.26</v>
      </c>
      <c r="C9" s="10" t="s">
        <v>246</v>
      </c>
      <c r="D9" s="6">
        <v>106.34</v>
      </c>
      <c r="E9" s="10" t="s">
        <v>246</v>
      </c>
      <c r="F9" s="6"/>
      <c r="G9" s="10" t="s">
        <v>230</v>
      </c>
      <c r="H9" s="6">
        <v>1643.83</v>
      </c>
      <c r="I9" s="10" t="s">
        <v>230</v>
      </c>
      <c r="J9" s="6">
        <v>1754.79</v>
      </c>
      <c r="K9" s="10" t="s">
        <v>319</v>
      </c>
      <c r="L9" s="6">
        <v>48.55</v>
      </c>
      <c r="M9" s="10" t="s">
        <v>230</v>
      </c>
      <c r="N9" s="6">
        <v>1360.47</v>
      </c>
      <c r="O9" s="10" t="s">
        <v>319</v>
      </c>
      <c r="P9" s="9">
        <v>48.55</v>
      </c>
    </row>
    <row r="10" spans="1:16" x14ac:dyDescent="0.25">
      <c r="A10" s="10" t="s">
        <v>20</v>
      </c>
      <c r="B10" s="6">
        <v>524</v>
      </c>
      <c r="C10" s="10" t="s">
        <v>20</v>
      </c>
      <c r="D10" s="6">
        <v>524</v>
      </c>
      <c r="E10" s="10" t="s">
        <v>20</v>
      </c>
      <c r="F10" s="6">
        <v>644</v>
      </c>
      <c r="G10" s="10" t="s">
        <v>255</v>
      </c>
      <c r="H10" s="6">
        <v>133.99</v>
      </c>
      <c r="I10" s="10" t="s">
        <v>264</v>
      </c>
      <c r="J10" s="6">
        <v>69.7</v>
      </c>
      <c r="K10" s="10" t="s">
        <v>264</v>
      </c>
      <c r="L10" s="6">
        <v>1170.6500000000001</v>
      </c>
      <c r="M10" s="10" t="s">
        <v>264</v>
      </c>
      <c r="N10" s="9"/>
      <c r="O10" s="10" t="s">
        <v>264</v>
      </c>
      <c r="P10" s="9">
        <v>1170.6500000000001</v>
      </c>
    </row>
    <row r="11" spans="1:16" x14ac:dyDescent="0.25">
      <c r="A11" s="10" t="s">
        <v>242</v>
      </c>
      <c r="B11" s="6">
        <v>373.43</v>
      </c>
      <c r="C11" s="10" t="s">
        <v>242</v>
      </c>
      <c r="D11" s="6">
        <v>228.88</v>
      </c>
      <c r="E11" s="10" t="s">
        <v>249</v>
      </c>
      <c r="F11" s="6">
        <v>242.9</v>
      </c>
      <c r="G11" s="10" t="s">
        <v>219</v>
      </c>
      <c r="H11" s="6">
        <v>186.2</v>
      </c>
      <c r="I11" s="10" t="s">
        <v>265</v>
      </c>
      <c r="J11" s="6">
        <v>156.94999999999999</v>
      </c>
      <c r="K11" s="10"/>
      <c r="L11" s="9"/>
      <c r="M11" s="48" t="s">
        <v>323</v>
      </c>
      <c r="N11" s="6">
        <v>1966.86</v>
      </c>
      <c r="O11" s="10" t="s">
        <v>265</v>
      </c>
      <c r="P11" s="9"/>
    </row>
    <row r="12" spans="1:16" x14ac:dyDescent="0.25">
      <c r="A12" s="10"/>
      <c r="B12" s="9"/>
      <c r="C12" s="10"/>
      <c r="D12" s="9"/>
      <c r="E12" s="10" t="s">
        <v>250</v>
      </c>
      <c r="F12" s="6">
        <v>248.17</v>
      </c>
      <c r="G12" s="10" t="s">
        <v>256</v>
      </c>
      <c r="H12" s="6">
        <v>52.17</v>
      </c>
      <c r="I12" s="10" t="s">
        <v>266</v>
      </c>
      <c r="J12" s="9"/>
      <c r="K12" s="10" t="s">
        <v>266</v>
      </c>
      <c r="L12" s="9"/>
      <c r="M12" s="10" t="s">
        <v>266</v>
      </c>
      <c r="N12" s="9"/>
      <c r="O12" s="10" t="s">
        <v>266</v>
      </c>
      <c r="P12" s="9"/>
    </row>
    <row r="13" spans="1:16" x14ac:dyDescent="0.25">
      <c r="A13" s="26" t="s">
        <v>240</v>
      </c>
      <c r="B13" s="6">
        <v>186.2</v>
      </c>
      <c r="C13" s="26"/>
      <c r="D13" s="6"/>
      <c r="E13" s="26"/>
      <c r="F13" s="6"/>
      <c r="G13" s="26" t="s">
        <v>257</v>
      </c>
      <c r="H13" s="6">
        <v>111.82</v>
      </c>
      <c r="I13" s="26"/>
      <c r="J13" s="6"/>
      <c r="K13" s="26" t="s">
        <v>317</v>
      </c>
      <c r="L13" s="6">
        <v>1050</v>
      </c>
      <c r="M13" s="10" t="s">
        <v>219</v>
      </c>
      <c r="N13" s="6">
        <v>186.2</v>
      </c>
      <c r="O13" s="26" t="s">
        <v>317</v>
      </c>
      <c r="P13" s="9">
        <v>1050</v>
      </c>
    </row>
    <row r="14" spans="1:16" x14ac:dyDescent="0.25">
      <c r="A14" s="10" t="s">
        <v>243</v>
      </c>
      <c r="B14" s="6">
        <v>500</v>
      </c>
      <c r="C14" s="10"/>
      <c r="D14" s="6"/>
      <c r="E14" s="10"/>
      <c r="F14" s="6"/>
      <c r="G14" s="10" t="s">
        <v>258</v>
      </c>
      <c r="H14" s="6">
        <v>250</v>
      </c>
      <c r="I14" s="10"/>
      <c r="J14" s="6"/>
      <c r="K14" s="10"/>
      <c r="L14" s="6"/>
      <c r="M14" s="10"/>
      <c r="N14" s="9"/>
      <c r="O14" s="10"/>
      <c r="P14" s="6"/>
    </row>
    <row r="15" spans="1:16" x14ac:dyDescent="0.25">
      <c r="A15" s="10"/>
      <c r="B15" s="9"/>
      <c r="C15" s="10"/>
      <c r="D15" s="9"/>
      <c r="E15" s="10"/>
      <c r="F15" s="9"/>
      <c r="G15" s="10" t="s">
        <v>259</v>
      </c>
      <c r="H15" s="6">
        <v>254.75</v>
      </c>
      <c r="I15" s="10"/>
      <c r="J15" s="6"/>
      <c r="K15" s="10"/>
      <c r="L15" s="6"/>
      <c r="M15" s="10"/>
      <c r="N15" s="9"/>
      <c r="O15" s="10"/>
      <c r="P15" s="6"/>
    </row>
    <row r="16" spans="1:16" x14ac:dyDescent="0.25">
      <c r="A16" s="10"/>
      <c r="B16" s="9"/>
      <c r="C16" s="10"/>
      <c r="D16" s="9"/>
      <c r="E16" s="10"/>
      <c r="F16" s="9"/>
      <c r="G16" s="10" t="s">
        <v>27</v>
      </c>
      <c r="H16" s="6">
        <v>45.72</v>
      </c>
      <c r="I16" s="10"/>
      <c r="J16" s="6"/>
      <c r="K16" s="10"/>
      <c r="L16" s="6"/>
      <c r="M16" s="10"/>
      <c r="N16" s="9"/>
      <c r="O16" s="10"/>
      <c r="P16" s="6"/>
    </row>
    <row r="17" spans="1:16" x14ac:dyDescent="0.25">
      <c r="A17" s="10"/>
      <c r="B17" s="9"/>
      <c r="C17" s="10"/>
      <c r="D17" s="9"/>
      <c r="E17" s="10"/>
      <c r="F17" s="9"/>
      <c r="G17" s="10" t="s">
        <v>235</v>
      </c>
      <c r="H17" s="6">
        <v>98.38</v>
      </c>
      <c r="I17" s="10"/>
      <c r="J17" s="6"/>
      <c r="K17" s="10"/>
      <c r="L17" s="6"/>
      <c r="M17" s="10"/>
      <c r="N17" s="6"/>
      <c r="O17" s="10"/>
      <c r="P17" s="6"/>
    </row>
    <row r="18" spans="1:16" x14ac:dyDescent="0.25">
      <c r="A18" s="10"/>
      <c r="B18" s="9"/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</row>
    <row r="19" spans="1:16" x14ac:dyDescent="0.25">
      <c r="A19" s="10"/>
      <c r="B19" s="9"/>
      <c r="C19" s="10"/>
      <c r="D19" s="9"/>
      <c r="E19" s="10"/>
      <c r="F19" s="9"/>
      <c r="G19" s="10"/>
      <c r="H19" s="9"/>
      <c r="I19" s="10"/>
      <c r="J19" s="9"/>
      <c r="K19" s="10"/>
      <c r="L19" s="9"/>
      <c r="M19" s="10"/>
      <c r="N19" s="9"/>
      <c r="O19" s="10"/>
      <c r="P19" s="9"/>
    </row>
    <row r="20" spans="1:16" x14ac:dyDescent="0.25">
      <c r="A20" s="10"/>
      <c r="B20" s="9"/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</row>
    <row r="21" spans="1:16" x14ac:dyDescent="0.25">
      <c r="A21" s="10"/>
      <c r="B21" s="9"/>
      <c r="C21" s="10"/>
      <c r="D21" s="9"/>
      <c r="E21" s="10"/>
      <c r="F21" s="9"/>
      <c r="G21" s="10"/>
      <c r="H21" s="9"/>
      <c r="I21" s="10"/>
      <c r="J21" s="9"/>
      <c r="K21" s="10"/>
      <c r="L21" s="9"/>
      <c r="M21" s="10"/>
      <c r="N21" s="9"/>
      <c r="O21" s="10"/>
      <c r="P21" s="9"/>
    </row>
    <row r="22" spans="1:16" x14ac:dyDescent="0.25">
      <c r="A22" s="10"/>
      <c r="B22" s="6"/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</row>
    <row r="23" spans="1:16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</row>
    <row r="24" spans="1:16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</row>
    <row r="25" spans="1:16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</row>
    <row r="26" spans="1:16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</row>
    <row r="27" spans="1:16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</row>
    <row r="28" spans="1:16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</row>
    <row r="29" spans="1:16" x14ac:dyDescent="0.25">
      <c r="A29" s="6" t="s">
        <v>4</v>
      </c>
      <c r="B29" s="7">
        <f>gfCountIfColor(B4:B28,A29)</f>
        <v>2034.0200000000002</v>
      </c>
      <c r="C29" s="6" t="s">
        <v>4</v>
      </c>
      <c r="D29" s="7">
        <f>gfCountIfColor(D4:D28,C29)</f>
        <v>2174.25</v>
      </c>
      <c r="E29" s="6" t="s">
        <v>4</v>
      </c>
      <c r="F29" s="7">
        <f>gfCountIfColor(F4:F28,E29)</f>
        <v>1135.07</v>
      </c>
      <c r="G29" s="6" t="s">
        <v>4</v>
      </c>
      <c r="H29" s="7">
        <f>gfCountIfColor(H4:H28,G29)</f>
        <v>5806.69</v>
      </c>
      <c r="I29" s="6" t="s">
        <v>4</v>
      </c>
      <c r="J29" s="7">
        <f>gfCountIfColor(J4:J28,I29)</f>
        <v>2115.4299999999998</v>
      </c>
      <c r="K29" s="6" t="s">
        <v>4</v>
      </c>
      <c r="L29" s="7">
        <f>gfCountIfColor(L4:L28,K29)</f>
        <v>3465.29</v>
      </c>
      <c r="M29" s="6" t="s">
        <v>4</v>
      </c>
      <c r="N29" s="7">
        <f>gfCountIfColor(N4:N28,M29)</f>
        <v>4610.3099999999995</v>
      </c>
      <c r="O29" s="6" t="s">
        <v>4</v>
      </c>
      <c r="P29" s="7">
        <f>gfCountIfColor(P4:P28,O29)</f>
        <v>0</v>
      </c>
    </row>
    <row r="30" spans="1:16" x14ac:dyDescent="0.25">
      <c r="A30" s="9" t="s">
        <v>7</v>
      </c>
      <c r="B30" s="8">
        <f>gfCountIfColor(B4:B28,A30)</f>
        <v>622.91</v>
      </c>
      <c r="C30" s="9" t="s">
        <v>7</v>
      </c>
      <c r="D30" s="8">
        <f>gfCountIfColor(D4:D28,C30)</f>
        <v>0</v>
      </c>
      <c r="E30" s="9" t="s">
        <v>7</v>
      </c>
      <c r="F30" s="8">
        <f>gfCountIfColor(F4:F28,E30)</f>
        <v>622.91</v>
      </c>
      <c r="G30" s="9" t="s">
        <v>7</v>
      </c>
      <c r="H30" s="8">
        <f>gfCountIfColor(H4:H28,G30)</f>
        <v>0</v>
      </c>
      <c r="I30" s="9" t="s">
        <v>7</v>
      </c>
      <c r="J30" s="8">
        <f>gfCountIfColor(J4:J28,I30)</f>
        <v>0</v>
      </c>
      <c r="K30" s="9" t="s">
        <v>7</v>
      </c>
      <c r="L30" s="8">
        <f>gfCountIfColor(L4:L28,K30)</f>
        <v>0</v>
      </c>
      <c r="M30" s="9" t="s">
        <v>7</v>
      </c>
      <c r="N30" s="8">
        <f>gfCountIfColor(N4:N28,M30)</f>
        <v>0</v>
      </c>
      <c r="O30" s="9" t="s">
        <v>7</v>
      </c>
      <c r="P30" s="8">
        <f>gfCountIfColor(P4:P28,O30)</f>
        <v>3465.29</v>
      </c>
    </row>
    <row r="31" spans="1:16" x14ac:dyDescent="0.25">
      <c r="A31" s="11" t="s">
        <v>6</v>
      </c>
      <c r="B31" s="12">
        <f>gfCountIfColor(B5:B29,A31)</f>
        <v>0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</row>
  </sheetData>
  <mergeCells count="8">
    <mergeCell ref="M1:N1"/>
    <mergeCell ref="O1:P1"/>
    <mergeCell ref="K1:L1"/>
    <mergeCell ref="A1:B1"/>
    <mergeCell ref="C1:D1"/>
    <mergeCell ref="E1:F1"/>
    <mergeCell ref="G1:H1"/>
    <mergeCell ref="I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3805A-98B2-408E-AFB9-35F038C3E8EA}">
  <dimension ref="A1:I48"/>
  <sheetViews>
    <sheetView topLeftCell="A17" workbookViewId="0">
      <selection activeCell="H21" sqref="H21:H48"/>
    </sheetView>
  </sheetViews>
  <sheetFormatPr defaultRowHeight="15" x14ac:dyDescent="0.25"/>
  <sheetData>
    <row r="1" spans="1:9" x14ac:dyDescent="0.25">
      <c r="A1" t="s">
        <v>267</v>
      </c>
      <c r="B1" s="45">
        <v>43245</v>
      </c>
      <c r="C1">
        <v>467.87</v>
      </c>
      <c r="D1">
        <v>0</v>
      </c>
      <c r="E1">
        <v>65.930000000000007</v>
      </c>
      <c r="F1">
        <v>0</v>
      </c>
      <c r="G1">
        <v>467.87</v>
      </c>
      <c r="H1">
        <v>467.22</v>
      </c>
      <c r="I1" t="s">
        <v>268</v>
      </c>
    </row>
    <row r="2" spans="1:9" x14ac:dyDescent="0.25">
      <c r="A2" t="s">
        <v>269</v>
      </c>
      <c r="B2" s="45">
        <v>43276</v>
      </c>
      <c r="C2">
        <v>467.87</v>
      </c>
      <c r="D2">
        <v>0</v>
      </c>
      <c r="E2">
        <v>65.930000000000007</v>
      </c>
      <c r="F2">
        <v>0</v>
      </c>
      <c r="G2">
        <v>467.87</v>
      </c>
      <c r="H2">
        <v>447.55</v>
      </c>
      <c r="I2" t="s">
        <v>268</v>
      </c>
    </row>
    <row r="3" spans="1:9" x14ac:dyDescent="0.25">
      <c r="A3" t="s">
        <v>270</v>
      </c>
      <c r="B3" s="45">
        <v>43306</v>
      </c>
      <c r="C3">
        <v>467.87</v>
      </c>
      <c r="D3">
        <v>0</v>
      </c>
      <c r="E3">
        <v>65.930000000000007</v>
      </c>
      <c r="F3">
        <v>0</v>
      </c>
      <c r="G3">
        <v>467.87</v>
      </c>
      <c r="H3">
        <v>429.31</v>
      </c>
      <c r="I3" t="s">
        <v>268</v>
      </c>
    </row>
    <row r="4" spans="1:9" x14ac:dyDescent="0.25">
      <c r="A4" t="s">
        <v>271</v>
      </c>
      <c r="B4" s="45">
        <v>43337</v>
      </c>
      <c r="C4">
        <v>467.87</v>
      </c>
      <c r="D4">
        <v>0</v>
      </c>
      <c r="E4">
        <v>65.930000000000007</v>
      </c>
      <c r="F4">
        <v>16.059999999999999</v>
      </c>
      <c r="G4">
        <v>451.81</v>
      </c>
      <c r="H4">
        <v>411.23</v>
      </c>
      <c r="I4" t="s">
        <v>268</v>
      </c>
    </row>
    <row r="5" spans="1:9" x14ac:dyDescent="0.25">
      <c r="A5" t="s">
        <v>272</v>
      </c>
      <c r="B5" s="45">
        <v>43368</v>
      </c>
      <c r="C5">
        <v>467.87</v>
      </c>
      <c r="D5">
        <v>0</v>
      </c>
      <c r="E5">
        <v>65.930000000000007</v>
      </c>
      <c r="F5">
        <v>65.650000000000006</v>
      </c>
      <c r="G5">
        <v>402.22</v>
      </c>
      <c r="H5">
        <v>393.92</v>
      </c>
      <c r="I5" t="s">
        <v>268</v>
      </c>
    </row>
    <row r="6" spans="1:9" x14ac:dyDescent="0.25">
      <c r="A6" t="s">
        <v>273</v>
      </c>
      <c r="B6" s="45">
        <v>43398</v>
      </c>
      <c r="C6">
        <v>467.87</v>
      </c>
      <c r="D6">
        <v>0</v>
      </c>
      <c r="E6">
        <v>65.930000000000007</v>
      </c>
      <c r="F6">
        <v>81.680000000000007</v>
      </c>
      <c r="G6">
        <v>386.19</v>
      </c>
      <c r="H6">
        <v>377.86</v>
      </c>
      <c r="I6" t="s">
        <v>268</v>
      </c>
    </row>
    <row r="7" spans="1:9" x14ac:dyDescent="0.25">
      <c r="A7" t="s">
        <v>274</v>
      </c>
      <c r="B7" s="45">
        <v>43429</v>
      </c>
      <c r="C7">
        <v>467.87</v>
      </c>
      <c r="D7">
        <v>0</v>
      </c>
      <c r="E7">
        <v>65.930000000000007</v>
      </c>
      <c r="F7">
        <v>72.12</v>
      </c>
      <c r="G7">
        <v>395.75</v>
      </c>
      <c r="H7">
        <v>361.96</v>
      </c>
      <c r="I7" t="s">
        <v>268</v>
      </c>
    </row>
    <row r="8" spans="1:9" x14ac:dyDescent="0.25">
      <c r="A8" t="s">
        <v>275</v>
      </c>
      <c r="B8" s="45">
        <v>43459</v>
      </c>
      <c r="C8">
        <v>467.87</v>
      </c>
      <c r="D8">
        <v>0</v>
      </c>
      <c r="E8">
        <v>65.930000000000007</v>
      </c>
      <c r="F8">
        <v>88.22</v>
      </c>
      <c r="G8">
        <v>379.65</v>
      </c>
      <c r="H8">
        <v>347.2</v>
      </c>
      <c r="I8" t="s">
        <v>268</v>
      </c>
    </row>
    <row r="9" spans="1:9" x14ac:dyDescent="0.25">
      <c r="A9" t="s">
        <v>276</v>
      </c>
      <c r="B9" s="45">
        <v>43490</v>
      </c>
      <c r="C9">
        <v>467.87</v>
      </c>
      <c r="D9">
        <v>0</v>
      </c>
      <c r="E9">
        <v>65.930000000000007</v>
      </c>
      <c r="F9">
        <v>79.17</v>
      </c>
      <c r="G9">
        <v>388.7</v>
      </c>
      <c r="H9">
        <v>332.58</v>
      </c>
      <c r="I9" t="s">
        <v>268</v>
      </c>
    </row>
    <row r="10" spans="1:9" x14ac:dyDescent="0.25">
      <c r="A10" t="s">
        <v>277</v>
      </c>
      <c r="B10" s="45">
        <v>43521</v>
      </c>
      <c r="C10">
        <v>467.87</v>
      </c>
      <c r="D10">
        <v>0</v>
      </c>
      <c r="E10">
        <v>65.930000000000007</v>
      </c>
      <c r="F10">
        <v>82.65</v>
      </c>
      <c r="G10">
        <v>385.22</v>
      </c>
      <c r="H10">
        <v>318.58</v>
      </c>
      <c r="I10" t="s">
        <v>268</v>
      </c>
    </row>
    <row r="11" spans="1:9" x14ac:dyDescent="0.25">
      <c r="A11" t="s">
        <v>278</v>
      </c>
      <c r="B11" s="45">
        <v>43549</v>
      </c>
      <c r="C11">
        <v>467.87</v>
      </c>
      <c r="D11">
        <v>0</v>
      </c>
      <c r="E11">
        <v>65.930000000000007</v>
      </c>
      <c r="F11">
        <v>123.93</v>
      </c>
      <c r="G11">
        <v>343.94</v>
      </c>
      <c r="H11">
        <v>306.44</v>
      </c>
      <c r="I11" t="s">
        <v>268</v>
      </c>
    </row>
    <row r="12" spans="1:9" x14ac:dyDescent="0.25">
      <c r="A12" t="s">
        <v>279</v>
      </c>
      <c r="B12" s="45">
        <v>43580</v>
      </c>
      <c r="C12">
        <v>467.87</v>
      </c>
      <c r="D12">
        <v>0</v>
      </c>
      <c r="E12">
        <v>65.930000000000007</v>
      </c>
      <c r="F12">
        <v>91.73</v>
      </c>
      <c r="G12">
        <v>376.14</v>
      </c>
      <c r="H12">
        <v>293.54000000000002</v>
      </c>
      <c r="I12" t="s">
        <v>268</v>
      </c>
    </row>
    <row r="13" spans="1:9" x14ac:dyDescent="0.25">
      <c r="A13" t="s">
        <v>280</v>
      </c>
      <c r="B13" s="45">
        <v>43610</v>
      </c>
      <c r="C13">
        <v>467.87</v>
      </c>
      <c r="D13">
        <v>0</v>
      </c>
      <c r="E13">
        <v>65.930000000000007</v>
      </c>
      <c r="F13">
        <v>108.01</v>
      </c>
      <c r="G13">
        <v>359.86</v>
      </c>
      <c r="H13">
        <v>281.58</v>
      </c>
      <c r="I13" t="s">
        <v>268</v>
      </c>
    </row>
    <row r="14" spans="1:9" x14ac:dyDescent="0.25">
      <c r="A14" t="s">
        <v>281</v>
      </c>
      <c r="B14" s="45">
        <v>43641</v>
      </c>
      <c r="C14">
        <v>467.87</v>
      </c>
      <c r="D14">
        <v>0</v>
      </c>
      <c r="E14">
        <v>65.930000000000007</v>
      </c>
      <c r="F14">
        <v>100.51</v>
      </c>
      <c r="G14">
        <v>367.36</v>
      </c>
      <c r="H14">
        <v>269.72000000000003</v>
      </c>
      <c r="I14" t="s">
        <v>268</v>
      </c>
    </row>
    <row r="15" spans="1:9" x14ac:dyDescent="0.25">
      <c r="A15" t="s">
        <v>282</v>
      </c>
      <c r="B15" s="45">
        <v>43671</v>
      </c>
      <c r="C15">
        <v>467.87</v>
      </c>
      <c r="D15">
        <v>0</v>
      </c>
      <c r="E15">
        <v>65.930000000000007</v>
      </c>
      <c r="F15">
        <v>116.88</v>
      </c>
      <c r="G15">
        <v>350.99</v>
      </c>
      <c r="H15">
        <v>258.73</v>
      </c>
      <c r="I15" t="s">
        <v>268</v>
      </c>
    </row>
    <row r="16" spans="1:9" x14ac:dyDescent="0.25">
      <c r="A16" t="s">
        <v>283</v>
      </c>
      <c r="B16" s="45">
        <v>43702</v>
      </c>
      <c r="C16">
        <v>467.87</v>
      </c>
      <c r="D16">
        <v>0</v>
      </c>
      <c r="E16">
        <v>65.930000000000007</v>
      </c>
      <c r="F16">
        <v>110.06</v>
      </c>
      <c r="G16">
        <v>357.81</v>
      </c>
      <c r="H16">
        <v>247.84</v>
      </c>
      <c r="I16" t="s">
        <v>268</v>
      </c>
    </row>
    <row r="17" spans="1:9" x14ac:dyDescent="0.25">
      <c r="A17" t="s">
        <v>284</v>
      </c>
      <c r="B17" s="45">
        <v>43733</v>
      </c>
      <c r="C17">
        <v>467.87</v>
      </c>
      <c r="D17">
        <v>0</v>
      </c>
      <c r="E17">
        <v>65.930000000000007</v>
      </c>
      <c r="F17">
        <v>114.9</v>
      </c>
      <c r="G17">
        <v>352.97</v>
      </c>
      <c r="H17">
        <v>237.4</v>
      </c>
      <c r="I17" t="s">
        <v>268</v>
      </c>
    </row>
    <row r="18" spans="1:9" x14ac:dyDescent="0.25">
      <c r="A18" t="s">
        <v>285</v>
      </c>
      <c r="B18" s="45">
        <v>43763</v>
      </c>
      <c r="C18">
        <v>467.87</v>
      </c>
      <c r="D18">
        <v>0</v>
      </c>
      <c r="E18">
        <v>65.930000000000007</v>
      </c>
      <c r="F18">
        <v>131.4</v>
      </c>
      <c r="G18">
        <v>336.47</v>
      </c>
      <c r="H18">
        <v>227.72</v>
      </c>
      <c r="I18" t="s">
        <v>268</v>
      </c>
    </row>
    <row r="19" spans="1:9" x14ac:dyDescent="0.25">
      <c r="A19" t="s">
        <v>286</v>
      </c>
      <c r="B19" s="45">
        <v>43794</v>
      </c>
      <c r="C19">
        <v>467.87</v>
      </c>
      <c r="D19">
        <v>0</v>
      </c>
      <c r="E19">
        <v>65.930000000000007</v>
      </c>
      <c r="F19">
        <v>125.72</v>
      </c>
      <c r="G19">
        <v>342.15</v>
      </c>
      <c r="H19">
        <v>218.14</v>
      </c>
      <c r="I19" t="s">
        <v>268</v>
      </c>
    </row>
    <row r="20" spans="1:9" x14ac:dyDescent="0.25">
      <c r="A20" t="s">
        <v>287</v>
      </c>
      <c r="B20" s="45">
        <v>43824</v>
      </c>
      <c r="C20">
        <v>467.87</v>
      </c>
      <c r="D20">
        <v>0</v>
      </c>
      <c r="E20">
        <v>65.930000000000007</v>
      </c>
      <c r="F20">
        <v>142.33000000000001</v>
      </c>
      <c r="G20">
        <v>325.54000000000002</v>
      </c>
      <c r="H20">
        <v>209.24</v>
      </c>
      <c r="I20" t="s">
        <v>268</v>
      </c>
    </row>
    <row r="21" spans="1:9" x14ac:dyDescent="0.25">
      <c r="A21" t="s">
        <v>288</v>
      </c>
      <c r="B21" s="45">
        <v>43855</v>
      </c>
      <c r="C21">
        <v>467.87</v>
      </c>
      <c r="D21">
        <v>0</v>
      </c>
      <c r="E21">
        <v>65.930000000000007</v>
      </c>
      <c r="F21">
        <v>137.5</v>
      </c>
      <c r="G21">
        <v>330.37</v>
      </c>
      <c r="H21">
        <v>200.44</v>
      </c>
      <c r="I21" t="s">
        <v>268</v>
      </c>
    </row>
    <row r="22" spans="1:9" x14ac:dyDescent="0.25">
      <c r="A22" t="s">
        <v>289</v>
      </c>
      <c r="B22" s="45">
        <v>43886</v>
      </c>
      <c r="C22">
        <v>467.87</v>
      </c>
      <c r="D22">
        <v>0</v>
      </c>
      <c r="E22">
        <v>65.930000000000007</v>
      </c>
      <c r="F22">
        <v>143.54</v>
      </c>
      <c r="G22">
        <v>324.33</v>
      </c>
      <c r="H22">
        <v>192</v>
      </c>
      <c r="I22" t="s">
        <v>268</v>
      </c>
    </row>
    <row r="23" spans="1:9" x14ac:dyDescent="0.25">
      <c r="A23" t="s">
        <v>290</v>
      </c>
      <c r="B23" s="45">
        <v>43915</v>
      </c>
      <c r="C23">
        <v>467.87</v>
      </c>
      <c r="D23">
        <v>0</v>
      </c>
      <c r="E23">
        <v>65.930000000000007</v>
      </c>
      <c r="F23">
        <v>170.78</v>
      </c>
      <c r="G23">
        <v>297.08999999999997</v>
      </c>
      <c r="H23">
        <v>184.43</v>
      </c>
      <c r="I23" t="s">
        <v>268</v>
      </c>
    </row>
    <row r="24" spans="1:9" x14ac:dyDescent="0.25">
      <c r="A24" t="s">
        <v>291</v>
      </c>
      <c r="B24" s="45">
        <v>43946</v>
      </c>
      <c r="C24">
        <v>467.87</v>
      </c>
      <c r="D24">
        <v>0</v>
      </c>
      <c r="E24">
        <v>65.930000000000007</v>
      </c>
      <c r="F24">
        <v>157.36000000000001</v>
      </c>
      <c r="G24">
        <v>310.51</v>
      </c>
      <c r="H24">
        <v>176.66</v>
      </c>
      <c r="I24" t="s">
        <v>268</v>
      </c>
    </row>
    <row r="25" spans="1:9" x14ac:dyDescent="0.25">
      <c r="A25" t="s">
        <v>292</v>
      </c>
      <c r="B25" s="45">
        <v>43976</v>
      </c>
      <c r="C25">
        <v>467.87</v>
      </c>
      <c r="D25">
        <v>0</v>
      </c>
      <c r="E25">
        <v>65.930000000000007</v>
      </c>
      <c r="F25">
        <v>174.27</v>
      </c>
      <c r="G25">
        <v>293.60000000000002</v>
      </c>
      <c r="H25">
        <v>169.46</v>
      </c>
      <c r="I25" t="s">
        <v>268</v>
      </c>
    </row>
    <row r="26" spans="1:9" x14ac:dyDescent="0.25">
      <c r="A26" t="s">
        <v>293</v>
      </c>
      <c r="B26" s="45">
        <v>44007</v>
      </c>
      <c r="C26">
        <v>467.87</v>
      </c>
      <c r="D26">
        <v>0</v>
      </c>
      <c r="E26">
        <v>65.930000000000007</v>
      </c>
      <c r="F26">
        <v>171.93</v>
      </c>
      <c r="G26">
        <v>295.94</v>
      </c>
      <c r="H26">
        <v>162.33000000000001</v>
      </c>
      <c r="I26" t="s">
        <v>268</v>
      </c>
    </row>
    <row r="27" spans="1:9" x14ac:dyDescent="0.25">
      <c r="A27" t="s">
        <v>294</v>
      </c>
      <c r="B27" s="45">
        <v>44037</v>
      </c>
      <c r="C27">
        <v>467.87</v>
      </c>
      <c r="D27">
        <v>0</v>
      </c>
      <c r="E27">
        <v>65.930000000000007</v>
      </c>
      <c r="F27">
        <v>188.98</v>
      </c>
      <c r="G27">
        <v>278.89</v>
      </c>
      <c r="H27">
        <v>155.71</v>
      </c>
      <c r="I27" t="s">
        <v>268</v>
      </c>
    </row>
    <row r="28" spans="1:9" x14ac:dyDescent="0.25">
      <c r="A28" t="s">
        <v>295</v>
      </c>
      <c r="B28" s="45">
        <v>44068</v>
      </c>
      <c r="C28">
        <v>467.87</v>
      </c>
      <c r="D28">
        <v>0</v>
      </c>
      <c r="E28">
        <v>65.930000000000007</v>
      </c>
      <c r="F28">
        <v>187.79</v>
      </c>
      <c r="G28">
        <v>280.08</v>
      </c>
      <c r="H28">
        <v>149.15</v>
      </c>
      <c r="I28" t="s">
        <v>268</v>
      </c>
    </row>
    <row r="29" spans="1:9" x14ac:dyDescent="0.25">
      <c r="A29" t="s">
        <v>296</v>
      </c>
      <c r="B29" s="45">
        <v>44099</v>
      </c>
      <c r="C29">
        <v>467.87</v>
      </c>
      <c r="D29">
        <v>0</v>
      </c>
      <c r="E29">
        <v>65.930000000000007</v>
      </c>
      <c r="F29">
        <v>196.04</v>
      </c>
      <c r="G29">
        <v>271.83</v>
      </c>
      <c r="H29">
        <v>142.88</v>
      </c>
      <c r="I29" t="s">
        <v>268</v>
      </c>
    </row>
    <row r="30" spans="1:9" x14ac:dyDescent="0.25">
      <c r="A30" t="s">
        <v>297</v>
      </c>
      <c r="B30" s="45">
        <v>44129</v>
      </c>
      <c r="C30">
        <v>467.87</v>
      </c>
      <c r="D30">
        <v>0</v>
      </c>
      <c r="E30">
        <v>65.930000000000007</v>
      </c>
      <c r="F30">
        <v>213.33</v>
      </c>
      <c r="G30">
        <v>254.54</v>
      </c>
      <c r="H30">
        <v>137.05000000000001</v>
      </c>
      <c r="I30" t="s">
        <v>268</v>
      </c>
    </row>
    <row r="31" spans="1:9" x14ac:dyDescent="0.25">
      <c r="A31" t="s">
        <v>298</v>
      </c>
      <c r="B31" s="45">
        <v>44160</v>
      </c>
      <c r="C31">
        <v>467.87</v>
      </c>
      <c r="D31">
        <v>0</v>
      </c>
      <c r="E31">
        <v>4.25</v>
      </c>
      <c r="F31">
        <v>214.04</v>
      </c>
      <c r="G31">
        <v>253.83</v>
      </c>
      <c r="H31">
        <v>131.28</v>
      </c>
      <c r="I31" t="s">
        <v>268</v>
      </c>
    </row>
    <row r="32" spans="1:9" x14ac:dyDescent="0.25">
      <c r="A32" t="s">
        <v>299</v>
      </c>
      <c r="B32" s="45">
        <v>44190</v>
      </c>
      <c r="C32">
        <v>467.87</v>
      </c>
      <c r="D32">
        <v>0</v>
      </c>
      <c r="E32">
        <v>4.25</v>
      </c>
      <c r="F32">
        <v>231.49</v>
      </c>
      <c r="G32">
        <v>236.38</v>
      </c>
      <c r="H32">
        <v>125.93</v>
      </c>
      <c r="I32" t="s">
        <v>268</v>
      </c>
    </row>
    <row r="33" spans="1:9" x14ac:dyDescent="0.25">
      <c r="A33" t="s">
        <v>300</v>
      </c>
      <c r="B33" s="45">
        <v>44221</v>
      </c>
      <c r="C33">
        <v>467.87</v>
      </c>
      <c r="D33">
        <v>0</v>
      </c>
      <c r="E33">
        <v>4.25</v>
      </c>
      <c r="F33">
        <v>233.62</v>
      </c>
      <c r="G33">
        <v>234.25</v>
      </c>
      <c r="H33">
        <v>120.63</v>
      </c>
      <c r="I33" t="s">
        <v>268</v>
      </c>
    </row>
    <row r="34" spans="1:9" x14ac:dyDescent="0.25">
      <c r="A34" t="s">
        <v>301</v>
      </c>
      <c r="B34" s="45">
        <v>44252</v>
      </c>
      <c r="C34">
        <v>467.87</v>
      </c>
      <c r="D34">
        <v>0</v>
      </c>
      <c r="E34">
        <v>4.25</v>
      </c>
      <c r="F34">
        <v>243.88</v>
      </c>
      <c r="G34">
        <v>223.99</v>
      </c>
      <c r="H34">
        <v>115.55</v>
      </c>
      <c r="I34" t="s">
        <v>268</v>
      </c>
    </row>
    <row r="35" spans="1:9" x14ac:dyDescent="0.25">
      <c r="A35" t="s">
        <v>302</v>
      </c>
      <c r="B35" s="45">
        <v>44280</v>
      </c>
      <c r="C35">
        <v>467.87</v>
      </c>
      <c r="D35">
        <v>0</v>
      </c>
      <c r="E35">
        <v>4.25</v>
      </c>
      <c r="F35">
        <v>275.64</v>
      </c>
      <c r="G35">
        <v>192.23</v>
      </c>
      <c r="H35">
        <v>111.15</v>
      </c>
      <c r="I35" t="s">
        <v>268</v>
      </c>
    </row>
    <row r="36" spans="1:9" x14ac:dyDescent="0.25">
      <c r="A36" t="s">
        <v>303</v>
      </c>
      <c r="B36" s="45">
        <v>44311</v>
      </c>
      <c r="C36">
        <v>467.87</v>
      </c>
      <c r="D36">
        <v>0</v>
      </c>
      <c r="E36">
        <v>4.25</v>
      </c>
      <c r="F36">
        <v>266.70999999999998</v>
      </c>
      <c r="G36">
        <v>201.16</v>
      </c>
      <c r="H36">
        <v>106.47</v>
      </c>
      <c r="I36" t="s">
        <v>268</v>
      </c>
    </row>
    <row r="37" spans="1:9" x14ac:dyDescent="0.25">
      <c r="A37" t="s">
        <v>304</v>
      </c>
      <c r="B37" s="45">
        <v>44341</v>
      </c>
      <c r="C37">
        <v>467.87</v>
      </c>
      <c r="D37">
        <v>0</v>
      </c>
      <c r="E37">
        <v>4.25</v>
      </c>
      <c r="F37">
        <v>284.67</v>
      </c>
      <c r="G37">
        <v>183.2</v>
      </c>
      <c r="H37">
        <v>102.13</v>
      </c>
      <c r="I37" t="s">
        <v>268</v>
      </c>
    </row>
    <row r="38" spans="1:9" x14ac:dyDescent="0.25">
      <c r="A38" t="s">
        <v>305</v>
      </c>
      <c r="B38" s="45">
        <v>44372</v>
      </c>
      <c r="C38">
        <v>467.87</v>
      </c>
      <c r="D38">
        <v>0</v>
      </c>
      <c r="E38">
        <v>4.25</v>
      </c>
      <c r="F38">
        <v>290.95</v>
      </c>
      <c r="G38">
        <v>176.92</v>
      </c>
      <c r="H38">
        <v>97.83</v>
      </c>
      <c r="I38" t="s">
        <v>268</v>
      </c>
    </row>
    <row r="39" spans="1:9" x14ac:dyDescent="0.25">
      <c r="A39" t="s">
        <v>306</v>
      </c>
      <c r="B39" s="45">
        <v>44402</v>
      </c>
      <c r="C39">
        <v>467.87</v>
      </c>
      <c r="D39">
        <v>0</v>
      </c>
      <c r="E39">
        <v>4.25</v>
      </c>
      <c r="F39">
        <v>309.14</v>
      </c>
      <c r="G39">
        <v>158.72999999999999</v>
      </c>
      <c r="H39">
        <v>93.84</v>
      </c>
      <c r="I39" t="s">
        <v>268</v>
      </c>
    </row>
    <row r="40" spans="1:9" x14ac:dyDescent="0.25">
      <c r="A40" t="s">
        <v>307</v>
      </c>
      <c r="B40" s="45">
        <v>44433</v>
      </c>
      <c r="C40">
        <v>467.87</v>
      </c>
      <c r="D40">
        <v>0</v>
      </c>
      <c r="E40">
        <v>4.25</v>
      </c>
      <c r="F40">
        <v>317.32</v>
      </c>
      <c r="G40">
        <v>150.55000000000001</v>
      </c>
      <c r="H40">
        <v>89.89</v>
      </c>
      <c r="I40" t="s">
        <v>268</v>
      </c>
    </row>
    <row r="41" spans="1:9" x14ac:dyDescent="0.25">
      <c r="A41" t="s">
        <v>308</v>
      </c>
      <c r="B41" s="45">
        <v>44464</v>
      </c>
      <c r="C41">
        <v>467.87</v>
      </c>
      <c r="D41">
        <v>0</v>
      </c>
      <c r="E41">
        <v>4.25</v>
      </c>
      <c r="F41">
        <v>331.26</v>
      </c>
      <c r="G41">
        <v>136.61000000000001</v>
      </c>
      <c r="H41">
        <v>86.11</v>
      </c>
      <c r="I41" t="s">
        <v>268</v>
      </c>
    </row>
    <row r="42" spans="1:9" x14ac:dyDescent="0.25">
      <c r="A42" t="s">
        <v>309</v>
      </c>
      <c r="B42" s="45">
        <v>44494</v>
      </c>
      <c r="C42">
        <v>467.87</v>
      </c>
      <c r="D42">
        <v>0</v>
      </c>
      <c r="E42">
        <v>4.25</v>
      </c>
      <c r="F42">
        <v>349.84</v>
      </c>
      <c r="G42">
        <v>118.03</v>
      </c>
      <c r="H42">
        <v>82.6</v>
      </c>
      <c r="I42" t="s">
        <v>268</v>
      </c>
    </row>
    <row r="43" spans="1:9" x14ac:dyDescent="0.25">
      <c r="A43" t="s">
        <v>310</v>
      </c>
      <c r="B43" s="45">
        <v>44525</v>
      </c>
      <c r="C43">
        <v>467.87</v>
      </c>
      <c r="D43">
        <v>0</v>
      </c>
      <c r="E43">
        <v>4.25</v>
      </c>
      <c r="F43">
        <v>361.2</v>
      </c>
      <c r="G43">
        <v>106.67</v>
      </c>
      <c r="H43">
        <v>79.12</v>
      </c>
      <c r="I43" t="s">
        <v>268</v>
      </c>
    </row>
    <row r="44" spans="1:9" x14ac:dyDescent="0.25">
      <c r="A44" t="s">
        <v>311</v>
      </c>
      <c r="B44" s="45">
        <v>44555</v>
      </c>
      <c r="C44">
        <v>467.87</v>
      </c>
      <c r="D44">
        <v>0</v>
      </c>
      <c r="E44">
        <v>4.25</v>
      </c>
      <c r="F44">
        <v>380.06</v>
      </c>
      <c r="G44">
        <v>87.81</v>
      </c>
      <c r="H44">
        <v>75.89</v>
      </c>
      <c r="I44" t="s">
        <v>268</v>
      </c>
    </row>
    <row r="45" spans="1:9" x14ac:dyDescent="0.25">
      <c r="A45" t="s">
        <v>312</v>
      </c>
      <c r="B45" s="45">
        <v>44586</v>
      </c>
      <c r="C45">
        <v>467.87</v>
      </c>
      <c r="D45">
        <v>0</v>
      </c>
      <c r="E45">
        <v>4.25</v>
      </c>
      <c r="F45">
        <v>393.77</v>
      </c>
      <c r="G45">
        <v>74.099999999999994</v>
      </c>
      <c r="H45">
        <v>72.7</v>
      </c>
      <c r="I45" t="s">
        <v>268</v>
      </c>
    </row>
    <row r="46" spans="1:9" x14ac:dyDescent="0.25">
      <c r="A46" t="s">
        <v>313</v>
      </c>
      <c r="B46" s="45">
        <v>44617</v>
      </c>
      <c r="C46">
        <v>467.87</v>
      </c>
      <c r="D46">
        <v>0</v>
      </c>
      <c r="E46">
        <v>4.25</v>
      </c>
      <c r="F46">
        <v>411.08</v>
      </c>
      <c r="G46">
        <v>56.79</v>
      </c>
      <c r="H46">
        <v>69.64</v>
      </c>
      <c r="I46" t="s">
        <v>268</v>
      </c>
    </row>
    <row r="47" spans="1:9" x14ac:dyDescent="0.25">
      <c r="A47" t="s">
        <v>314</v>
      </c>
      <c r="B47" s="45">
        <v>44645</v>
      </c>
      <c r="C47">
        <v>467.87</v>
      </c>
      <c r="D47">
        <v>0</v>
      </c>
      <c r="E47">
        <v>4.25</v>
      </c>
      <c r="F47">
        <v>432.96</v>
      </c>
      <c r="G47">
        <v>34.909999999999997</v>
      </c>
      <c r="H47">
        <v>66.98</v>
      </c>
      <c r="I47" t="s">
        <v>268</v>
      </c>
    </row>
    <row r="48" spans="1:9" x14ac:dyDescent="0.25">
      <c r="A48" t="s">
        <v>315</v>
      </c>
      <c r="B48" s="45">
        <v>44676</v>
      </c>
      <c r="C48">
        <v>467.87</v>
      </c>
      <c r="D48">
        <v>0</v>
      </c>
      <c r="E48">
        <v>4.25</v>
      </c>
      <c r="F48">
        <v>448.23</v>
      </c>
      <c r="G48">
        <v>19.64</v>
      </c>
      <c r="H48">
        <v>64.16</v>
      </c>
      <c r="I48" t="s">
        <v>316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23"/>
  <sheetViews>
    <sheetView workbookViewId="0">
      <selection activeCell="N14" sqref="N14:N15"/>
    </sheetView>
  </sheetViews>
  <sheetFormatPr defaultRowHeight="15" x14ac:dyDescent="0.25"/>
  <sheetData>
    <row r="1" spans="1:14" x14ac:dyDescent="0.25">
      <c r="A1" t="s">
        <v>171</v>
      </c>
    </row>
    <row r="3" spans="1:14" x14ac:dyDescent="0.25">
      <c r="A3" t="s">
        <v>172</v>
      </c>
      <c r="B3" t="s">
        <v>173</v>
      </c>
      <c r="C3" t="s">
        <v>174</v>
      </c>
    </row>
    <row r="4" spans="1:14" x14ac:dyDescent="0.25">
      <c r="A4" t="s">
        <v>175</v>
      </c>
      <c r="C4" t="s">
        <v>176</v>
      </c>
      <c r="D4" t="s">
        <v>177</v>
      </c>
    </row>
    <row r="6" spans="1:14" x14ac:dyDescent="0.25">
      <c r="A6" t="s">
        <v>178</v>
      </c>
    </row>
    <row r="7" spans="1:14" x14ac:dyDescent="0.25">
      <c r="A7" t="s">
        <v>179</v>
      </c>
    </row>
    <row r="8" spans="1:14" x14ac:dyDescent="0.25">
      <c r="M8" s="21"/>
    </row>
    <row r="9" spans="1:14" x14ac:dyDescent="0.25">
      <c r="A9" t="s">
        <v>180</v>
      </c>
    </row>
    <row r="10" spans="1:14" x14ac:dyDescent="0.25">
      <c r="A10" t="s">
        <v>181</v>
      </c>
    </row>
    <row r="11" spans="1:14" x14ac:dyDescent="0.25">
      <c r="A11" t="s">
        <v>182</v>
      </c>
    </row>
    <row r="13" spans="1:14" x14ac:dyDescent="0.25">
      <c r="A13" t="s">
        <v>183</v>
      </c>
    </row>
    <row r="14" spans="1:14" x14ac:dyDescent="0.25">
      <c r="N14" s="38">
        <v>4314.12</v>
      </c>
    </row>
    <row r="15" spans="1:14" x14ac:dyDescent="0.25">
      <c r="A15" t="s">
        <v>184</v>
      </c>
      <c r="N15" s="38">
        <v>1117.3599999999999</v>
      </c>
    </row>
    <row r="16" spans="1:14" x14ac:dyDescent="0.25">
      <c r="A16" t="s">
        <v>185</v>
      </c>
    </row>
    <row r="18" spans="1:14" x14ac:dyDescent="0.25">
      <c r="N18" s="46">
        <v>11150</v>
      </c>
    </row>
    <row r="19" spans="1:14" x14ac:dyDescent="0.25">
      <c r="A19" t="s">
        <v>186</v>
      </c>
      <c r="M19" s="46">
        <v>5420</v>
      </c>
      <c r="N19" s="46">
        <f>N18-M21</f>
        <v>3890.9300000000003</v>
      </c>
    </row>
    <row r="20" spans="1:14" x14ac:dyDescent="0.25">
      <c r="A20" t="s">
        <v>187</v>
      </c>
      <c r="M20">
        <v>1839.07</v>
      </c>
    </row>
    <row r="21" spans="1:14" x14ac:dyDescent="0.25">
      <c r="M21" s="46">
        <f>SUM(M19:M20)</f>
        <v>7259.07</v>
      </c>
    </row>
    <row r="23" spans="1:14" x14ac:dyDescent="0.25">
      <c r="A23">
        <v>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I20"/>
  <sheetViews>
    <sheetView topLeftCell="C1" workbookViewId="0">
      <selection activeCell="D10" sqref="D10:D11"/>
    </sheetView>
  </sheetViews>
  <sheetFormatPr defaultRowHeight="15" x14ac:dyDescent="0.25"/>
  <cols>
    <col min="1" max="1" width="26.5703125" bestFit="1" customWidth="1"/>
    <col min="2" max="2" width="15.85546875" bestFit="1" customWidth="1"/>
    <col min="3" max="3" width="18.7109375" bestFit="1" customWidth="1"/>
    <col min="4" max="4" width="29.42578125" bestFit="1" customWidth="1"/>
    <col min="5" max="5" width="28.7109375" bestFit="1" customWidth="1"/>
    <col min="6" max="6" width="22.42578125" bestFit="1" customWidth="1"/>
    <col min="7" max="7" width="20.140625" bestFit="1" customWidth="1"/>
    <col min="8" max="8" width="17.5703125" bestFit="1" customWidth="1"/>
    <col min="9" max="9" width="25.140625" bestFit="1" customWidth="1"/>
    <col min="10" max="10" width="8.42578125" bestFit="1" customWidth="1"/>
  </cols>
  <sheetData>
    <row r="1" spans="1:9" x14ac:dyDescent="0.25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  <c r="G1" t="s">
        <v>215</v>
      </c>
      <c r="H1" t="s">
        <v>216</v>
      </c>
      <c r="I1" t="s">
        <v>217</v>
      </c>
    </row>
    <row r="2" spans="1:9" x14ac:dyDescent="0.25">
      <c r="A2" t="s">
        <v>188</v>
      </c>
      <c r="B2" t="s">
        <v>189</v>
      </c>
      <c r="C2" s="45" t="s">
        <v>190</v>
      </c>
      <c r="D2" t="s">
        <v>191</v>
      </c>
      <c r="E2" s="45" t="s">
        <v>192</v>
      </c>
      <c r="F2">
        <v>34</v>
      </c>
      <c r="G2">
        <v>36</v>
      </c>
      <c r="H2" t="s">
        <v>193</v>
      </c>
      <c r="I2" t="s">
        <v>194</v>
      </c>
    </row>
    <row r="3" spans="1:9" x14ac:dyDescent="0.25">
      <c r="A3" t="s">
        <v>195</v>
      </c>
      <c r="B3" t="s">
        <v>196</v>
      </c>
      <c r="C3" s="45">
        <v>42561</v>
      </c>
      <c r="D3" t="s">
        <v>197</v>
      </c>
      <c r="E3" s="45">
        <v>43012</v>
      </c>
      <c r="F3">
        <v>20</v>
      </c>
      <c r="G3">
        <v>24</v>
      </c>
      <c r="H3" t="s">
        <v>198</v>
      </c>
      <c r="I3" t="s">
        <v>208</v>
      </c>
    </row>
    <row r="4" spans="1:9" x14ac:dyDescent="0.25">
      <c r="A4" t="s">
        <v>188</v>
      </c>
      <c r="B4" t="s">
        <v>199</v>
      </c>
      <c r="C4" t="s">
        <v>200</v>
      </c>
      <c r="D4" t="s">
        <v>201</v>
      </c>
      <c r="E4" t="s">
        <v>202</v>
      </c>
      <c r="F4">
        <v>10</v>
      </c>
      <c r="G4">
        <v>10</v>
      </c>
      <c r="H4" t="s">
        <v>193</v>
      </c>
      <c r="I4" t="s">
        <v>203</v>
      </c>
    </row>
    <row r="5" spans="1:9" x14ac:dyDescent="0.25">
      <c r="A5" t="s">
        <v>204</v>
      </c>
      <c r="B5" t="s">
        <v>205</v>
      </c>
      <c r="D5" t="s">
        <v>206</v>
      </c>
      <c r="I5" t="s">
        <v>207</v>
      </c>
    </row>
    <row r="10" spans="1:9" x14ac:dyDescent="0.25">
      <c r="D10" s="47">
        <v>564.22</v>
      </c>
    </row>
    <row r="11" spans="1:9" x14ac:dyDescent="0.25">
      <c r="D11" s="47">
        <v>20.8</v>
      </c>
    </row>
    <row r="20" spans="4:4" x14ac:dyDescent="0.25">
      <c r="D20" t="s">
        <v>218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ITAUCARD</vt:lpstr>
      <vt:lpstr>Cartão 2014</vt:lpstr>
      <vt:lpstr>Plan1</vt:lpstr>
      <vt:lpstr>Plan2</vt:lpstr>
      <vt:lpstr>Economias</vt:lpstr>
      <vt:lpstr>Plan3</vt:lpstr>
      <vt:lpstr>2017</vt:lpstr>
      <vt:lpstr>2018</vt:lpstr>
      <vt:lpstr>Planilha3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2018-08-13T20:42:30Z</dcterms:modified>
</cp:coreProperties>
</file>